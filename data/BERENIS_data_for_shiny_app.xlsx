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work\BAFU\BAFU_BERENIS_APP\data\"/>
    </mc:Choice>
  </mc:AlternateContent>
  <xr:revisionPtr revIDLastSave="0" documentId="13_ncr:1_{93A8ACFE-736B-4DD4-A7C7-AAFCBEC86AE7}" xr6:coauthVersionLast="47" xr6:coauthVersionMax="47" xr10:uidLastSave="{00000000-0000-0000-0000-000000000000}"/>
  <bookViews>
    <workbookView xWindow="1950" yWindow="1950" windowWidth="28800" windowHeight="15555" tabRatio="599" activeTab="1" xr2:uid="{00000000-000D-0000-FFFF-FFFF00000000}"/>
  </bookViews>
  <sheets>
    <sheet name="Newsletter" sheetId="1" r:id="rId1"/>
    <sheet name="Categories_dict" sheetId="5" r:id="rId2"/>
    <sheet name="Vergleich_NL-Statistik" sheetId="6" r:id="rId3"/>
  </sheets>
  <definedNames>
    <definedName name="_xlnm._FilterDatabase" localSheetId="1" hidden="1">Categories_dict!$A$1:$E$1</definedName>
    <definedName name="_xlnm._FilterDatabase" localSheetId="0" hidden="1">Newsletter!$A$1:$AM$164</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6" l="1"/>
  <c r="F33" i="6"/>
  <c r="E33" i="6"/>
  <c r="G32" i="6"/>
  <c r="F32" i="6"/>
  <c r="E32" i="6"/>
  <c r="G31" i="6"/>
  <c r="F31" i="6"/>
  <c r="E31" i="6"/>
  <c r="G30" i="6"/>
  <c r="F30" i="6"/>
  <c r="E30" i="6"/>
  <c r="G29" i="6"/>
  <c r="F29" i="6"/>
  <c r="E29" i="6"/>
  <c r="G28" i="6"/>
  <c r="F28" i="6"/>
  <c r="E28" i="6"/>
  <c r="G27" i="6"/>
  <c r="F27" i="6"/>
  <c r="E27" i="6"/>
  <c r="G26" i="6"/>
  <c r="F26" i="6"/>
  <c r="E26" i="6"/>
  <c r="G25" i="6"/>
  <c r="F25" i="6"/>
  <c r="E25" i="6"/>
  <c r="G24" i="6"/>
  <c r="F24" i="6"/>
  <c r="E24" i="6"/>
  <c r="G23" i="6"/>
  <c r="F23" i="6"/>
  <c r="E23" i="6"/>
  <c r="G22" i="6"/>
  <c r="F22" i="6"/>
  <c r="E22" i="6"/>
  <c r="G21" i="6"/>
  <c r="F21" i="6"/>
  <c r="E21" i="6"/>
  <c r="G20" i="6"/>
  <c r="F20" i="6"/>
  <c r="E20" i="6"/>
  <c r="G19" i="6"/>
  <c r="F19" i="6"/>
  <c r="E19" i="6"/>
  <c r="G18" i="6"/>
  <c r="F18" i="6"/>
  <c r="E18" i="6"/>
  <c r="G17" i="6"/>
  <c r="F17" i="6"/>
  <c r="E17" i="6"/>
  <c r="G16" i="6"/>
  <c r="F16" i="6"/>
  <c r="E16" i="6"/>
  <c r="G15" i="6"/>
  <c r="F15" i="6"/>
  <c r="E15" i="6"/>
  <c r="G14" i="6"/>
  <c r="F14" i="6"/>
  <c r="E14" i="6"/>
  <c r="G13" i="6"/>
  <c r="F13" i="6"/>
  <c r="E13" i="6"/>
  <c r="G12" i="6"/>
  <c r="F12" i="6"/>
  <c r="E12" i="6"/>
  <c r="G11" i="6"/>
  <c r="F11" i="6"/>
  <c r="E11" i="6"/>
  <c r="G10" i="6"/>
  <c r="F10" i="6"/>
  <c r="E10" i="6"/>
  <c r="G9" i="6"/>
  <c r="F9" i="6"/>
  <c r="E9" i="6"/>
  <c r="G8" i="6"/>
  <c r="F8" i="6"/>
  <c r="E8" i="6"/>
  <c r="G7" i="6"/>
  <c r="F7" i="6"/>
  <c r="E7" i="6"/>
  <c r="G6" i="6"/>
  <c r="F6" i="6"/>
  <c r="E6" i="6"/>
  <c r="G5" i="6"/>
  <c r="F5" i="6"/>
  <c r="E5" i="6"/>
  <c r="G4" i="6"/>
  <c r="F4" i="6"/>
  <c r="E4" i="6"/>
  <c r="G3" i="6"/>
  <c r="F3" i="6"/>
  <c r="E3" i="6"/>
  <c r="F2" i="6"/>
  <c r="G2" i="6"/>
  <c r="E2" i="6"/>
  <c r="N37" i="6"/>
  <c r="M37" i="6"/>
  <c r="L3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Riesen Maurane BAFU</author>
    <author>Stefan Dongus</author>
  </authors>
  <commentList>
    <comment ref="N39" authorId="0" shapeId="0" xr:uid="{00000000-0006-0000-0000-000001000000}">
      <text>
        <r>
          <rPr>
            <b/>
            <sz val="9"/>
            <color indexed="81"/>
            <rFont val="Tahoma"/>
            <family val="2"/>
          </rPr>
          <t>Riesen Maurane BAFU:</t>
        </r>
        <r>
          <rPr>
            <sz val="9"/>
            <color indexed="81"/>
            <rFont val="Tahoma"/>
            <family val="2"/>
          </rPr>
          <t xml:space="preserve">
Texte non complet (en FR EN all?)</t>
        </r>
      </text>
    </comment>
    <comment ref="A61" authorId="1" shapeId="0" xr:uid="{00000000-0006-0000-0000-000002000000}">
      <text>
        <r>
          <rPr>
            <b/>
            <sz val="9"/>
            <color indexed="81"/>
            <rFont val="Tahoma"/>
            <family val="2"/>
          </rPr>
          <t>Stefan Dongus:</t>
        </r>
        <r>
          <rPr>
            <sz val="9"/>
            <color indexed="81"/>
            <rFont val="Tahoma"/>
            <family val="2"/>
          </rPr>
          <t xml:space="preserve">
neue Nummer, weil neuer Eintrag. Wäre es einfacher, am Ende einfach eine fortlaufende Nummerierung zu nehmen?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A1" authorId="0" shapeId="0" xr:uid="{00000000-0006-0000-0100-000001000000}">
      <text>
        <r>
          <rPr>
            <b/>
            <sz val="9"/>
            <color indexed="81"/>
            <rFont val="Segoe UI"/>
            <family val="2"/>
          </rPr>
          <t>Egger Sebastian BAFU:</t>
        </r>
        <r>
          <rPr>
            <sz val="9"/>
            <color indexed="81"/>
            <rFont val="Segoe UI"/>
            <family val="2"/>
          </rPr>
          <t xml:space="preserve">
Die ID setzt sich aus einem Buchstanben und einem nummerischen Index zusammen. 
Der </t>
        </r>
        <r>
          <rPr>
            <b/>
            <sz val="9"/>
            <color indexed="81"/>
            <rFont val="Segoe UI"/>
            <family val="2"/>
          </rPr>
          <t>Buchstabe</t>
        </r>
        <r>
          <rPr>
            <sz val="9"/>
            <color indexed="81"/>
            <rFont val="Segoe UI"/>
            <family val="2"/>
          </rPr>
          <t xml:space="preserve"> bezeichnet die jeweilige Kategorie.
Der </t>
        </r>
        <r>
          <rPr>
            <b/>
            <sz val="9"/>
            <color indexed="81"/>
            <rFont val="Segoe UI"/>
            <family val="2"/>
          </rPr>
          <t>nummerische Index</t>
        </r>
        <r>
          <rPr>
            <sz val="9"/>
            <color indexed="81"/>
            <rFont val="Segoe UI"/>
            <family val="2"/>
          </rPr>
          <t xml:space="preserve"> gibt die Position an, in der das jeweilige Element in der Filterauswahl in der App erscheinen soll. Damit kann die Reihenfolge der Elemente 
manuell bestimmt werden. z.B.
Q3 
- Kategorie: Q --&gt; "Quelle"
- Index: 3 --&gt; dritte Position in der Filterauswahl "Quelle"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Riesen Maurane BAFU</author>
    <author>Egger Sebastian BAFU</author>
  </authors>
  <commentList>
    <comment ref="B1" authorId="0" shapeId="0" xr:uid="{00000000-0006-0000-0200-000001000000}">
      <text>
        <r>
          <rPr>
            <b/>
            <sz val="9"/>
            <color indexed="81"/>
            <rFont val="Tahoma"/>
            <family val="2"/>
          </rPr>
          <t>Riesen Maurane BAFU:</t>
        </r>
        <r>
          <rPr>
            <sz val="9"/>
            <color indexed="81"/>
            <rFont val="Tahoma"/>
            <family val="2"/>
          </rPr>
          <t xml:space="preserve">
= Anzahl Studien die in diesem Zeitraum mit der Litteratursuche gefunden wurden.</t>
        </r>
      </text>
    </comment>
    <comment ref="C1" authorId="0" shapeId="0" xr:uid="{00000000-0006-0000-0200-000002000000}">
      <text>
        <r>
          <rPr>
            <b/>
            <sz val="9"/>
            <color indexed="81"/>
            <rFont val="Tahoma"/>
            <family val="2"/>
          </rPr>
          <t>Riesen Maurane BAFU:</t>
        </r>
        <r>
          <rPr>
            <sz val="9"/>
            <color indexed="81"/>
            <rFont val="Tahoma"/>
            <family val="2"/>
          </rPr>
          <t xml:space="preserve">
= Anzahl Studien die von Expertinnen und Experten für die Diskussion schriftlich zusammengefasst wurden</t>
        </r>
      </text>
    </comment>
    <comment ref="D1" authorId="0" shapeId="0" xr:uid="{00000000-0006-0000-0200-000003000000}">
      <text>
        <r>
          <rPr>
            <b/>
            <sz val="9"/>
            <color indexed="81"/>
            <rFont val="Tahoma"/>
            <family val="2"/>
          </rPr>
          <t>Riesen Maurane BAFU:</t>
        </r>
        <r>
          <rPr>
            <sz val="9"/>
            <color indexed="81"/>
            <rFont val="Tahoma"/>
            <family val="2"/>
          </rPr>
          <t xml:space="preserve">
= Anzahl Studien die in der Newsletter zusammengefasst wurden</t>
        </r>
      </text>
    </comment>
    <comment ref="H29" authorId="1" shapeId="0" xr:uid="{00000000-0006-0000-0200-000004000000}">
      <text>
        <r>
          <rPr>
            <b/>
            <sz val="9"/>
            <color indexed="81"/>
            <rFont val="Segoe UI"/>
            <family val="2"/>
          </rPr>
          <t>Egger Sebastian BAFU:</t>
        </r>
        <r>
          <rPr>
            <sz val="9"/>
            <color indexed="81"/>
            <rFont val="Segoe UI"/>
            <family val="2"/>
          </rPr>
          <t xml:space="preserve">
Die Ergebnisse einer Studie sind auf 2 Publikationen aufgeteilt. 
Wie zählt man?</t>
        </r>
      </text>
    </comment>
  </commentList>
</comments>
</file>

<file path=xl/sharedStrings.xml><?xml version="1.0" encoding="utf-8"?>
<sst xmlns="http://schemas.openxmlformats.org/spreadsheetml/2006/main" count="4171" uniqueCount="2207">
  <si>
    <t>Increasing levels of saliva alpha amylase in electrohypersensitive (EHS) patients.</t>
  </si>
  <si>
    <t>https://www.bafu.admin.ch/dam/bafu/fr/dokumente/elektrosmog/fachinfo-daten/newsletter-berenis-13.pdf.download.pdf/Newsletter_BERENIS_No_13_-_Mars_2018_FR.pdf</t>
  </si>
  <si>
    <t>https://www.bafu.admin.ch/dam/bafu/fr/dokumente/elektrosmog/fachinfo-daten/newsletter_berenisnr4-dezember2015.pdf.download.pdf/newsletter_berenisn4-decembre2015.pdf</t>
  </si>
  <si>
    <t>Clinically defined non-specific symptoms in the vicinity of mobile phone base stations: A retrospective before-after study.</t>
  </si>
  <si>
    <t>https://www.bafu.admin.ch/dam/bafu/fr/dokumente/elektrosmog/fachinfo-daten/newsleter_berenisnr8.pdf.download.pdf/Newsletter_BERENIS_Nr._8_-_FRANCAIS.pdf</t>
  </si>
  <si>
    <t>https://www.bafu.admin.ch/dam/bafu/fr/dokumente/elektrosmog/fachinfo-daten/newsletter_berenisnr11_september2017.pdf.download.pdf/Newsletter_BERENIS_No_11_-_septembre_2017_FR.pdf</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</si>
  <si>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</si>
  <si>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</si>
  <si>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</si>
  <si>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</si>
  <si>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</si>
  <si>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</si>
  <si>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https://www.bafu.admin.ch/dam/bafu/de/dokumente/elektrosmog/fachinfo-daten/newsletter-berenis-13.pdf.download.pdf/Newsletter_BERENIS_Nr._13_-_M%C3%A4rz_2018_DE.pdf</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</si>
  <si>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</si>
  <si>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</si>
  <si>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</si>
  <si>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</si>
  <si>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</si>
  <si>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</si>
  <si>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</si>
  <si>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</si>
  <si>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</si>
  <si>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</si>
  <si>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</si>
  <si>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</si>
  <si>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Bahnstrom</t>
  </si>
  <si>
    <t>Hochspannungsleitungen</t>
  </si>
  <si>
    <t>Transformatoren</t>
  </si>
  <si>
    <t>Elektrische Geräte</t>
  </si>
  <si>
    <t>Erdmagnetfeld</t>
  </si>
  <si>
    <t>Induktionskochherde</t>
  </si>
  <si>
    <t>MRI</t>
  </si>
  <si>
    <t>Radar</t>
  </si>
  <si>
    <t>Schnurlostelefone</t>
  </si>
  <si>
    <t>Beruflich</t>
  </si>
  <si>
    <t>Gesamtbevölkerung</t>
  </si>
  <si>
    <t>Beruflich Exponierte</t>
  </si>
  <si>
    <t>Erwachsene (alle)</t>
  </si>
  <si>
    <t>Elektrohypersensibilität</t>
  </si>
  <si>
    <t>Schwangere Frauen</t>
  </si>
  <si>
    <t>Ungeborene</t>
  </si>
  <si>
    <t>Andere Tiere</t>
  </si>
  <si>
    <t>Pflanzen</t>
  </si>
  <si>
    <t>Pilze</t>
  </si>
  <si>
    <t>Zellkulturen</t>
  </si>
  <si>
    <t xml:space="preserve">Akut </t>
  </si>
  <si>
    <t>Chronisch</t>
  </si>
  <si>
    <t>Nicht bestimmt</t>
  </si>
  <si>
    <t>Biomarker</t>
  </si>
  <si>
    <t>Blut-Hirnschranke</t>
  </si>
  <si>
    <t>Elektrische Gehirnaktivität (Hirnströme, EEG)</t>
  </si>
  <si>
    <t>Haut</t>
  </si>
  <si>
    <t>Hormone</t>
  </si>
  <si>
    <t xml:space="preserve">Immunsystem </t>
  </si>
  <si>
    <t>Kognitive Funktionen</t>
  </si>
  <si>
    <t>Schlaf</t>
  </si>
  <si>
    <t>Unspezifische Symptome</t>
  </si>
  <si>
    <t>Temperatur</t>
  </si>
  <si>
    <t>Verhalten</t>
  </si>
  <si>
    <t>Gesamter Frequenzbereich</t>
  </si>
  <si>
    <t>Tierstudie</t>
  </si>
  <si>
    <t>Humanexperimentelle Studie</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</si>
  <si>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</si>
  <si>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</si>
  <si>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</si>
  <si>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</si>
  <si>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Geburtsdefekte und Exposition der Mutter gegenüber niederfrequenten Magnetfeldern</t>
  </si>
  <si>
    <t>NA</t>
  </si>
  <si>
    <t>Environ Res.</t>
  </si>
  <si>
    <t>Environ Int</t>
  </si>
  <si>
    <t>Sci Rep</t>
  </si>
  <si>
    <t>Dosimetrische Studie</t>
  </si>
  <si>
    <t>Int J Hyg Environ Health</t>
  </si>
  <si>
    <t>https://www.bafu.admin.ch/dam/bafu/fr/dokumente/elektrosmog/fachinfo-daten/newsletter_berenisnr6-juni2016.pdf.download.pdf/newsletter_berenisn6-juin2016.pdf</t>
  </si>
  <si>
    <t>Zielgroesse</t>
  </si>
  <si>
    <t>Untersuchungsobjekt</t>
  </si>
  <si>
    <t>Sci Rep.</t>
  </si>
  <si>
    <t>Int J Epidemiol.</t>
  </si>
  <si>
    <t>https://www.ncbi.nlm.nih.gov/pubmed/31302690</t>
  </si>
  <si>
    <t>https://www.ncbi.nlm.nih.gov/pubmed/30977029</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</si>
  <si>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</si>
  <si>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</si>
  <si>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</si>
  <si>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</si>
  <si>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</si>
  <si>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</si>
  <si>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</si>
  <si>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</si>
  <si>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</si>
  <si>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</si>
  <si>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</si>
  <si>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</si>
  <si>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</si>
  <si>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</si>
  <si>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</si>
  <si>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</si>
  <si>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</si>
  <si>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</si>
  <si>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</si>
  <si>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</si>
  <si>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</si>
  <si>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</si>
  <si>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</si>
  <si>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</si>
  <si>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</si>
  <si>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</si>
  <si>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</si>
  <si>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</si>
  <si>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</si>
  <si>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</si>
  <si>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</si>
  <si>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</si>
  <si>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</si>
  <si>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</si>
  <si>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</si>
  <si>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</si>
  <si>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</si>
  <si>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</si>
  <si>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</si>
  <si>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</si>
  <si>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</si>
  <si>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</si>
  <si>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</si>
  <si>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</si>
  <si>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</si>
  <si>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</si>
  <si>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</si>
  <si>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</si>
  <si>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</si>
  <si>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</si>
  <si>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</si>
  <si>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</si>
  <si>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</si>
  <si>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</si>
  <si>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</si>
  <si>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</si>
  <si>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</si>
  <si>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</si>
  <si>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</si>
  <si>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</si>
  <si>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</si>
  <si>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</si>
  <si>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</si>
  <si>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</si>
  <si>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</si>
  <si>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</si>
  <si>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</si>
  <si>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</si>
  <si>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</si>
  <si>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</si>
  <si>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</si>
  <si>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</si>
  <si>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</si>
  <si>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</si>
  <si>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</si>
  <si>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</si>
  <si>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</si>
  <si>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</si>
  <si>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</si>
  <si>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</si>
  <si>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</si>
  <si>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</si>
  <si>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</si>
  <si>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</si>
  <si>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</si>
  <si>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</si>
  <si>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</si>
  <si>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</si>
  <si>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</si>
  <si>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</si>
  <si>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</si>
  <si>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</si>
  <si>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</si>
  <si>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</si>
  <si>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</si>
  <si>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</si>
  <si>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</si>
  <si>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</si>
  <si>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</si>
  <si>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</si>
  <si>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</si>
  <si>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</si>
  <si>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</si>
  <si>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</si>
  <si>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</si>
  <si>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</si>
  <si>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</si>
  <si>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</si>
  <si>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</si>
  <si>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</si>
  <si>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</si>
  <si>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</si>
  <si>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</si>
  <si>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</si>
  <si>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</si>
  <si>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</si>
  <si>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</si>
  <si>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</si>
  <si>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</si>
  <si>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</si>
  <si>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</si>
  <si>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</si>
  <si>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</si>
  <si>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</si>
  <si>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</si>
  <si>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</si>
  <si>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</si>
  <si>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</si>
  <si>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</si>
  <si>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</si>
  <si>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</si>
  <si>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</si>
  <si>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</si>
  <si>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</si>
  <si>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</si>
  <si>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</si>
  <si>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</si>
  <si>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</si>
  <si>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</si>
  <si>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</si>
  <si>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</si>
  <si>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</si>
  <si>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</si>
  <si>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</si>
  <si>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</si>
  <si>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</si>
  <si>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</si>
  <si>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</si>
  <si>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</si>
  <si>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</si>
  <si>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</si>
  <si>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</si>
  <si>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</si>
  <si>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</si>
  <si>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</si>
  <si>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</si>
  <si>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</si>
  <si>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</si>
  <si>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</si>
  <si>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</si>
  <si>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</si>
  <si>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</si>
  <si>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</si>
  <si>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</si>
  <si>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</si>
  <si>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</si>
  <si>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</si>
  <si>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</si>
  <si>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</si>
  <si>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</si>
  <si>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</si>
  <si>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</si>
  <si>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</si>
  <si>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</si>
  <si>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</si>
  <si>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</si>
  <si>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</si>
  <si>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</si>
  <si>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</si>
  <si>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</si>
  <si>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</si>
  <si>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</si>
  <si>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</si>
  <si>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</si>
  <si>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</si>
  <si>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</si>
  <si>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</si>
  <si>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</si>
  <si>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</si>
  <si>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</si>
  <si>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</si>
  <si>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</si>
  <si>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</si>
  <si>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</si>
  <si>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</si>
  <si>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</si>
  <si>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</si>
  <si>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</si>
  <si>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</si>
  <si>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</si>
  <si>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</si>
  <si>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</si>
  <si>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</si>
  <si>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</si>
  <si>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</si>
  <si>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</si>
  <si>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</si>
  <si>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</si>
  <si>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</si>
  <si>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</si>
  <si>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</si>
  <si>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</si>
  <si>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</si>
  <si>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</si>
  <si>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</si>
  <si>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</si>
  <si>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</si>
  <si>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</si>
  <si>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</si>
  <si>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</si>
  <si>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</si>
  <si>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</si>
  <si>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</si>
  <si>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</si>
  <si>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</si>
  <si>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</si>
  <si>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</si>
  <si>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</si>
  <si>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</si>
  <si>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</si>
  <si>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</si>
  <si>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</si>
  <si>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</si>
  <si>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</si>
  <si>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</si>
  <si>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</si>
  <si>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</si>
  <si>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</si>
  <si>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</si>
  <si>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</si>
  <si>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</si>
  <si>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</si>
  <si>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</si>
  <si>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</si>
  <si>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</si>
  <si>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</si>
  <si>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</si>
  <si>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</si>
  <si>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</si>
  <si>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</si>
  <si>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</si>
  <si>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</si>
  <si>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</si>
  <si>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</si>
  <si>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</si>
  <si>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</si>
  <si>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</si>
  <si>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</si>
  <si>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</si>
  <si>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</si>
  <si>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</si>
  <si>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</si>
  <si>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</si>
  <si>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</si>
  <si>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</si>
  <si>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</si>
  <si>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</si>
  <si>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</si>
  <si>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</si>
  <si>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</si>
  <si>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</si>
  <si>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</si>
  <si>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</si>
  <si>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</si>
  <si>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</si>
  <si>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</si>
  <si>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</si>
  <si>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</si>
  <si>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</si>
  <si>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</si>
  <si>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</si>
  <si>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</si>
  <si>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</si>
  <si>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</si>
  <si>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</si>
  <si>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</si>
  <si>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</si>
  <si>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</si>
  <si>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</si>
  <si>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</si>
  <si>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</si>
  <si>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</si>
  <si>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</si>
  <si>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</si>
  <si>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</si>
  <si>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</si>
  <si>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</si>
  <si>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</si>
  <si>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</si>
  <si>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</si>
  <si>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</si>
  <si>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</si>
  <si>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</si>
  <si>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</si>
  <si>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</si>
  <si>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</si>
  <si>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</si>
  <si>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</si>
  <si>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</si>
  <si>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</si>
  <si>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</si>
  <si>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</si>
  <si>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</si>
  <si>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</si>
  <si>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</si>
  <si>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</si>
  <si>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</si>
  <si>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</si>
  <si>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</si>
  <si>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</si>
  <si>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</si>
  <si>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</si>
  <si>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</si>
  <si>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</si>
  <si>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</si>
  <si>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</si>
  <si>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</si>
  <si>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</si>
  <si>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</si>
  <si>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</si>
  <si>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</si>
  <si>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</si>
  <si>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</si>
  <si>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</si>
  <si>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</si>
  <si>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</si>
  <si>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</si>
  <si>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</si>
  <si>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</si>
  <si>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</si>
  <si>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</si>
  <si>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</si>
  <si>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</si>
  <si>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</si>
  <si>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</si>
  <si>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</si>
  <si>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</si>
  <si>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</si>
  <si>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</si>
  <si>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</si>
  <si>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</si>
  <si>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</si>
  <si>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</si>
  <si>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</si>
  <si>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</si>
  <si>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</si>
  <si>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</si>
  <si>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</si>
  <si>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</si>
  <si>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</si>
  <si>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</si>
  <si>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</si>
  <si>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</si>
  <si>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</si>
  <si>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</si>
  <si>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</si>
  <si>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</si>
  <si>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</si>
  <si>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</si>
  <si>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</si>
  <si>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</si>
  <si>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</si>
  <si>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</si>
  <si>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</si>
  <si>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</si>
  <si>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</si>
  <si>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</si>
  <si>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</si>
  <si>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</si>
  <si>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</si>
  <si>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</si>
  <si>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</si>
  <si>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</si>
  <si>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</si>
  <si>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</si>
  <si>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</si>
  <si>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</si>
  <si>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</si>
  <si>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</si>
  <si>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</si>
  <si>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</si>
  <si>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</si>
  <si>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</si>
  <si>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</si>
  <si>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</si>
  <si>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</si>
  <si>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</si>
  <si>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</si>
  <si>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</si>
  <si>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</si>
  <si>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</si>
  <si>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</si>
  <si>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</si>
  <si>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</si>
  <si>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</si>
  <si>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</si>
  <si>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</si>
  <si>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</si>
  <si>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</si>
  <si>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</si>
  <si>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</si>
  <si>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</si>
  <si>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</si>
  <si>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</si>
  <si>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</si>
  <si>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</si>
  <si>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</si>
  <si>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</si>
  <si>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</si>
  <si>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</si>
  <si>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</si>
  <si>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</si>
  <si>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</si>
  <si>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</si>
  <si>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</si>
  <si>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</si>
  <si>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</si>
  <si>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</si>
  <si>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</si>
  <si>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</si>
  <si>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</si>
  <si>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</si>
  <si>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</si>
  <si>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</si>
  <si>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</si>
  <si>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</si>
  <si>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</si>
  <si>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</si>
  <si>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</si>
  <si>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</si>
  <si>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</si>
  <si>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</si>
  <si>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</si>
  <si>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</si>
  <si>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</si>
  <si>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</si>
  <si>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</si>
  <si>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</si>
  <si>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</si>
  <si>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</si>
  <si>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</si>
  <si>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Theoretische Studie zu Mechanismen</t>
  </si>
  <si>
    <t>Juni</t>
  </si>
  <si>
    <t>September</t>
  </si>
  <si>
    <t>Dezember</t>
  </si>
  <si>
    <t>März</t>
  </si>
  <si>
    <t>April</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</si>
  <si>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</si>
  <si>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</si>
  <si>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https://www.bafu.admin.ch/dam/bafu/en/dokumente/elektrosmog/fachinfo-daten/newsletter_berenisnr2-juni2015.pdf.download.pdf/newsletter_berenisnr2-june2015.pdf</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</si>
  <si>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</si>
  <si>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</si>
  <si>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</si>
  <si>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</si>
  <si>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</si>
  <si>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</si>
  <si>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</si>
  <si>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</si>
  <si>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</si>
  <si>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</si>
  <si>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</si>
  <si>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</si>
  <si>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</si>
  <si>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</si>
  <si>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</si>
  <si>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</si>
  <si>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</si>
  <si>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</si>
  <si>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</si>
  <si>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</si>
  <si>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</si>
  <si>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</si>
  <si>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</si>
  <si>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</si>
  <si>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</si>
  <si>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</si>
  <si>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</si>
  <si>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</si>
  <si>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</si>
  <si>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</si>
  <si>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</si>
  <si>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</si>
  <si>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</si>
  <si>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</si>
  <si>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</si>
  <si>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</si>
  <si>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</si>
  <si>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</si>
  <si>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</si>
  <si>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</si>
  <si>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</si>
  <si>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</si>
  <si>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</si>
  <si>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</si>
  <si>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</si>
  <si>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</si>
  <si>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</si>
  <si>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</si>
  <si>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</si>
  <si>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</si>
  <si>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</si>
  <si>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</si>
  <si>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</si>
  <si>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</si>
  <si>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</si>
  <si>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</si>
  <si>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</si>
  <si>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</si>
  <si>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</si>
  <si>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</si>
  <si>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</si>
  <si>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</si>
  <si>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</si>
  <si>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</si>
  <si>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</si>
  <si>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</si>
  <si>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</si>
  <si>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</si>
  <si>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</si>
  <si>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</si>
  <si>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</si>
  <si>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</si>
  <si>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</si>
  <si>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</si>
  <si>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</si>
  <si>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</si>
  <si>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</si>
  <si>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</si>
  <si>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</si>
  <si>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</si>
  <si>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</si>
  <si>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</si>
  <si>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</si>
  <si>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</si>
  <si>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</si>
  <si>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</si>
  <si>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</si>
  <si>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</si>
  <si>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</si>
  <si>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</si>
  <si>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</si>
  <si>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</si>
  <si>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</si>
  <si>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</si>
  <si>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</si>
  <si>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</si>
  <si>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</si>
  <si>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</si>
  <si>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</si>
  <si>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</si>
  <si>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</si>
  <si>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</si>
  <si>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</si>
  <si>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</si>
  <si>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</si>
  <si>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</si>
  <si>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</si>
  <si>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</si>
  <si>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</si>
  <si>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</si>
  <si>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</si>
  <si>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</si>
  <si>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</si>
  <si>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</si>
  <si>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</si>
  <si>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</si>
  <si>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</si>
  <si>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</si>
  <si>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</si>
  <si>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Champs magnétiques de basse fréquence et cancer du sein chez l’homme</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</si>
  <si>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</si>
  <si>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</si>
  <si>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</si>
  <si>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</si>
  <si>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</si>
  <si>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</si>
  <si>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</si>
  <si>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</si>
  <si>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</si>
  <si>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</si>
  <si>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</si>
  <si>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</si>
  <si>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</si>
  <si>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</si>
  <si>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</si>
  <si>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</si>
  <si>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</si>
  <si>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</si>
  <si>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</si>
  <si>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</si>
  <si>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</si>
  <si>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</si>
  <si>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</si>
  <si>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</si>
  <si>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</si>
  <si>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</si>
  <si>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</si>
  <si>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</si>
  <si>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</si>
  <si>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</si>
  <si>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</si>
  <si>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</si>
  <si>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</si>
  <si>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</si>
  <si>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</si>
  <si>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</si>
  <si>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</si>
  <si>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</si>
  <si>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</si>
  <si>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</si>
  <si>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</si>
  <si>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</si>
  <si>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</si>
  <si>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</si>
  <si>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</si>
  <si>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</si>
  <si>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</si>
  <si>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</si>
  <si>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</si>
  <si>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</si>
  <si>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</si>
  <si>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</si>
  <si>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</si>
  <si>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</si>
  <si>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</si>
  <si>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</si>
  <si>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</si>
  <si>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</si>
  <si>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</si>
  <si>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</si>
  <si>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</si>
  <si>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</si>
  <si>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</si>
  <si>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</si>
  <si>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</si>
  <si>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</si>
  <si>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</si>
  <si>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</si>
  <si>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</si>
  <si>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</si>
  <si>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</si>
  <si>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</si>
  <si>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</si>
  <si>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</si>
  <si>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</si>
  <si>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</si>
  <si>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</si>
  <si>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</si>
  <si>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</si>
  <si>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</si>
  <si>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</si>
  <si>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</si>
  <si>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</si>
  <si>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</si>
  <si>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</si>
  <si>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</si>
  <si>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</si>
  <si>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</si>
  <si>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</si>
  <si>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</si>
  <si>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</si>
  <si>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</si>
  <si>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</si>
  <si>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</si>
  <si>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</si>
  <si>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</si>
  <si>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</si>
  <si>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</si>
  <si>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</si>
  <si>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</si>
  <si>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</si>
  <si>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</si>
  <si>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</si>
  <si>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</si>
  <si>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</si>
  <si>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</si>
  <si>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</si>
  <si>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</si>
  <si>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</si>
  <si>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</si>
  <si>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</si>
  <si>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</si>
  <si>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</si>
  <si>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</si>
  <si>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</si>
  <si>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</si>
  <si>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</si>
  <si>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</si>
  <si>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</si>
  <si>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</si>
  <si>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</si>
  <si>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</si>
  <si>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</si>
  <si>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</si>
  <si>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</si>
  <si>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</si>
  <si>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</si>
  <si>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</si>
  <si>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</si>
  <si>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</si>
  <si>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</si>
  <si>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</si>
  <si>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</si>
  <si>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</si>
  <si>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</si>
  <si>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</si>
  <si>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</si>
  <si>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</si>
  <si>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</si>
  <si>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</si>
  <si>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</si>
  <si>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</si>
  <si>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</si>
  <si>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</si>
  <si>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</si>
  <si>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</si>
  <si>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</si>
  <si>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</si>
  <si>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</si>
  <si>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</si>
  <si>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</si>
  <si>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</si>
  <si>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</si>
  <si>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</si>
  <si>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</si>
  <si>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</si>
  <si>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</si>
  <si>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</si>
  <si>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</si>
  <si>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</si>
  <si>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</si>
  <si>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</si>
  <si>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</si>
  <si>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</si>
  <si>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</si>
  <si>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</si>
  <si>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</si>
  <si>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</si>
  <si>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</si>
  <si>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</si>
  <si>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</si>
  <si>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</si>
  <si>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</si>
  <si>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</si>
  <si>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</si>
  <si>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</si>
  <si>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</si>
  <si>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</si>
  <si>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</si>
  <si>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</si>
  <si>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</si>
  <si>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</si>
  <si>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</si>
  <si>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</si>
  <si>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</si>
  <si>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</si>
  <si>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</si>
  <si>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</si>
  <si>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</si>
  <si>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</si>
  <si>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</si>
  <si>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</si>
  <si>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</si>
  <si>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</si>
  <si>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</si>
  <si>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</si>
  <si>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</si>
  <si>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</si>
  <si>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</si>
  <si>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</si>
  <si>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</si>
  <si>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</si>
  <si>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</si>
  <si>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</si>
  <si>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</si>
  <si>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</si>
  <si>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</si>
  <si>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</si>
  <si>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</si>
  <si>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</si>
  <si>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</si>
  <si>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</si>
  <si>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</si>
  <si>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</si>
  <si>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</si>
  <si>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</si>
  <si>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</si>
  <si>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</si>
  <si>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</si>
  <si>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</si>
  <si>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</si>
  <si>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</si>
  <si>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</si>
  <si>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</si>
  <si>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</si>
  <si>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</si>
  <si>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</si>
  <si>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</si>
  <si>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</si>
  <si>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</si>
  <si>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</si>
  <si>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</si>
  <si>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</si>
  <si>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</si>
  <si>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</si>
  <si>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</si>
  <si>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</si>
  <si>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</si>
  <si>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</si>
  <si>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</si>
  <si>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</si>
  <si>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</si>
  <si>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</si>
  <si>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</si>
  <si>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</si>
  <si>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</si>
  <si>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</si>
  <si>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</si>
  <si>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</si>
  <si>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</si>
  <si>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</si>
  <si>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</si>
  <si>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</si>
  <si>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</si>
  <si>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</si>
  <si>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</si>
  <si>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</si>
  <si>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</si>
  <si>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</si>
  <si>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</si>
  <si>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</si>
  <si>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</si>
  <si>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</si>
  <si>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</si>
  <si>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</si>
  <si>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</si>
  <si>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</si>
  <si>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</si>
  <si>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</si>
  <si>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</si>
  <si>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</si>
  <si>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</si>
  <si>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</si>
  <si>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</si>
  <si>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</si>
  <si>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</si>
  <si>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</si>
  <si>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</si>
  <si>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</si>
  <si>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</si>
  <si>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</si>
  <si>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</si>
  <si>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</si>
  <si>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</si>
  <si>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</si>
  <si>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</si>
  <si>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</si>
  <si>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</si>
  <si>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</si>
  <si>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</si>
  <si>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</si>
  <si>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</si>
  <si>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</si>
  <si>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</si>
  <si>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</si>
  <si>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</si>
  <si>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</si>
  <si>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</si>
  <si>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</si>
  <si>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</si>
  <si>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</si>
  <si>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</si>
  <si>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</si>
  <si>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</si>
  <si>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</si>
  <si>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</si>
  <si>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</si>
  <si>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</si>
  <si>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</si>
  <si>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</si>
  <si>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</si>
  <si>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</si>
  <si>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</si>
  <si>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</si>
  <si>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</si>
  <si>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</si>
  <si>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</si>
  <si>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</si>
  <si>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</si>
  <si>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</si>
  <si>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</si>
  <si>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</si>
  <si>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</si>
  <si>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</si>
  <si>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</si>
  <si>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</si>
  <si>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</si>
  <si>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</si>
  <si>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</si>
  <si>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</si>
  <si>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</si>
  <si>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</si>
  <si>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</si>
  <si>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</si>
  <si>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</si>
  <si>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</si>
  <si>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</si>
  <si>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</si>
  <si>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</si>
  <si>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</si>
  <si>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</si>
  <si>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</si>
  <si>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</si>
  <si>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</si>
  <si>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</si>
  <si>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</si>
  <si>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</si>
  <si>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</si>
  <si>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</si>
  <si>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</si>
  <si>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</si>
  <si>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</si>
  <si>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</si>
  <si>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Kat_Frequenzbereich</t>
  </si>
  <si>
    <t>Kat_Frequenzbereich_detailliert</t>
  </si>
  <si>
    <t>Kat_Quellentyp</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</si>
  <si>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</si>
  <si>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</si>
  <si>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</si>
  <si>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</si>
  <si>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</si>
  <si>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</si>
  <si>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</si>
  <si>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</si>
  <si>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</si>
  <si>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</si>
  <si>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</si>
  <si>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</si>
  <si>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</si>
  <si>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</si>
  <si>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</si>
  <si>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</si>
  <si>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</si>
  <si>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</si>
  <si>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</si>
  <si>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</si>
  <si>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</si>
  <si>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</si>
  <si>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</si>
  <si>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</si>
  <si>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</si>
  <si>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</si>
  <si>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</si>
  <si>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</si>
  <si>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</si>
  <si>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</si>
  <si>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</si>
  <si>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</si>
  <si>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</si>
  <si>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</si>
  <si>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</si>
  <si>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</si>
  <si>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</si>
  <si>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</si>
  <si>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</si>
  <si>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</si>
  <si>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</si>
  <si>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</si>
  <si>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</si>
  <si>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</si>
  <si>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</si>
  <si>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</si>
  <si>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</si>
  <si>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</si>
  <si>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</si>
  <si>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</si>
  <si>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</si>
  <si>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</si>
  <si>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</si>
  <si>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</si>
  <si>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</si>
  <si>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</si>
  <si>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</si>
  <si>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</si>
  <si>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</si>
  <si>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</si>
  <si>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</si>
  <si>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</si>
  <si>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</si>
  <si>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</si>
  <si>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</si>
  <si>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</si>
  <si>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</si>
  <si>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</si>
  <si>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</si>
  <si>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</si>
  <si>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</si>
  <si>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</si>
  <si>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</si>
  <si>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</si>
  <si>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</si>
  <si>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</si>
  <si>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</si>
  <si>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</si>
  <si>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</si>
  <si>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</si>
  <si>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</si>
  <si>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</si>
  <si>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</si>
  <si>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</si>
  <si>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</si>
  <si>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</si>
  <si>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</si>
  <si>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</si>
  <si>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</si>
  <si>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</si>
  <si>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</si>
  <si>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</si>
  <si>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</si>
  <si>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</si>
  <si>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</si>
  <si>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</si>
  <si>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</si>
  <si>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</si>
  <si>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</si>
  <si>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</si>
  <si>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</si>
  <si>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</si>
  <si>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</si>
  <si>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</si>
  <si>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</si>
  <si>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</si>
  <si>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</si>
  <si>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</si>
  <si>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</si>
  <si>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</si>
  <si>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</si>
  <si>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</si>
  <si>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</si>
  <si>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</si>
  <si>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</si>
  <si>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</si>
  <si>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</si>
  <si>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</si>
  <si>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</si>
  <si>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</si>
  <si>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</si>
  <si>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</si>
  <si>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</si>
  <si>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</si>
  <si>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</si>
  <si>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</si>
  <si>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</si>
  <si>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</si>
  <si>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</si>
  <si>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</si>
  <si>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</si>
  <si>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</si>
  <si>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</si>
  <si>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</si>
  <si>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</si>
  <si>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</si>
  <si>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</si>
  <si>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https://www.bafu.admin.ch/dam/bafu/de/dokumente/elektrosmog/fachinfo-daten/Newsletter%20BERENIS%20Nr.%2015%20-%20September%202018.pdf.download.pdf/Newsletter%20BERENIS%20Nr.%2015%20-%20DEUTSCH.pdf</t>
  </si>
  <si>
    <t>https://www.bafu.admin.ch/dam/bafu/fr/dokumente/elektrosmog/fachinfo-daten/Newsletter%20BERENIS%20Nr.%2015%20-%20September%202018.pdf.download.pdf/newsletter-berenis15-septembre2018.pdf</t>
  </si>
  <si>
    <t>https://www.bafu.admin.ch/dam/bafu/en/dokumente/elektrosmog/fachinfo-daten/Newsletter%20BERENIS%20Nr.%2015%20-%20September%202018.pdf.download.pdf/Newsletter%20BERENIS%20Nr.%2015%20-%20ENGLISH.pdf</t>
  </si>
  <si>
    <t>https://www.bafu.admin.ch/dam/bafu/de/dokumente/elektrosmog/fachinfo-daten/Newsletter%20BERENIS%20Nr.%2017%20-%20Juni%202019.pdf.download.pdf/Newsletter_BERENIS_Nr._17_-_DEUTSCH.pdf</t>
  </si>
  <si>
    <t>https://www.bafu.admin.ch/dam/bafu/fr/dokumente/elektrosmog/fachinfo-daten/Newsletter%20BERENIS%20Nr.%2017%20-%20Juni%202019.pdf.download.pdf/Newsletter_BERENIS_Nr._17_-_f.pdf</t>
  </si>
  <si>
    <t>https://www.bafu.admin.ch/dam/bafu/en/dokumente/elektrosmog/fachinfo-daten/Newsletter%20BERENIS%20Nr.%2017%20-%20Juni%202019.pdf.download.pdf/Newsletter_BERENIS_Nr._17_-_ENGLISH.pdf</t>
  </si>
  <si>
    <t>https://www.bafu.admin.ch/dam/bafu/de/dokumente/elektrosmog/fachinfo-daten/newsletter-berenis-nr-18-2019.pdf.download.pdf/Newsletter_BERENIS_Nr._18_-_DEUTSCH_vfp.pdf</t>
  </si>
  <si>
    <t>https://www.bafu.admin.ch/dam/bafu/fr/dokumente/elektrosmog/fachinfo-daten/newsletter-berenis-nr-18-2019.pdf.download.pdf/Newsletter_BERENIS_Nr._18_-_FRANCAIS_vfp.pdf</t>
  </si>
  <si>
    <t>https://www.bafu.admin.ch/dam/bafu/en/dokumente/elektrosmog/fachinfo-daten/newsletter-berenis-nr-18-2019.pdf.download.pdf/Newsletter_BERENIS_Nr._18_-_ENGLISH_vfp.pdf</t>
  </si>
  <si>
    <t>https://www.bafu.admin.ch/dam/bafu/de/dokumente/elektrosmog/fachinfo-daten/newsletter-berenis-nr-19-2019.pdf.download.pdf/Newsletter_BERENIS_Nr._19_-_DEUTSCH.pdf</t>
  </si>
  <si>
    <t>https://www.bafu.admin.ch/dam/bafu/fr/dokumente/elektrosmog/fachinfo-daten/newsletter-berenis-nr-19-2019.pdf.download.pdf/Newsletter_BERENIS_Nr._19_FRANCAIS.pdf</t>
  </si>
  <si>
    <t>https://www.bafu.admin.ch/dam/bafu/en/dokumente/elektrosmog/fachinfo-daten/newsletter-berenis-nr-19-2019.pdf.download.pdf/Newsletter_BERENIS_Nr._19_-_ENGLISH.pdf</t>
  </si>
  <si>
    <t>https://www.bafu.admin.ch/dam/bafu/de/dokumente/elektrosmog/fachinfo-daten/newsletter-berenis-nr-20-maerz-2020.pdf.download.pdf/Newsletter_BERENIS_Nr20_de.pdf</t>
  </si>
  <si>
    <t>https://www.bafu.admin.ch/dam/bafu/fr/dokumente/elektrosmog/fachinfo-daten/newsletter-berenis-nr-20-maerz-2020.pdf.download.pdf/Newsletter_BERENIS_Nr20_fr.pdf</t>
  </si>
  <si>
    <t>https://www.bafu.admin.ch/dam/bafu/en/dokumente/elektrosmog/fachinfo-daten/newsletter-berenis-nr-20-maerz-2020.pdf.download.pdf/Newsletter_BERENIS_Nr20_en.pdf</t>
  </si>
  <si>
    <t>https://www.bafu.admin.ch/dam/bafu/en/dokumente/elektrosmog/fachinfo-daten/newsletter-berenis-nr-21-juni-2020.pdf.download.pdf/Newsletter_BERENIS_Nr._21_-_ENGLISH.pdf</t>
  </si>
  <si>
    <t>https://www.bafu.admin.ch/dam/bafu/de/dokumente/elektrosmog/fachinfo-daten/newsletter-berenis-nr-21-juni-2020.pdf.download.pdf/Newsletter_BERENIS_Nr._21_-_DEUTSCH.pdf</t>
  </si>
  <si>
    <t>https://www.bafu.admin.ch/dam/bafu/fr/dokumente/elektrosmog/fachinfo-daten/newsletter-berenis-nr-21-juni-2020.pdf.download.pdf/Newsletter_BERENIS_Nr._21_-_FRANCAIS.pdf</t>
  </si>
  <si>
    <t>Mai</t>
  </si>
  <si>
    <t>https://www.bafu.admin.ch/dam/bafu/de/dokumente/elektrosmog/fachinfo-daten/Newsletter%20BERENIS%20Nr.%2023%20-%20DEUTSCH.pdf.download.pdf/Newsletter%20BERENIS%20Nr.%2023%20-%20DEUTSCH.pdf</t>
  </si>
  <si>
    <t>https://www.bafu.admin.ch/dam/bafu/fr/dokumente/elektrosmog/fachinfo-daten/Newsletter%20BERENIS%20Nr.%2023%20-%20FRANCAIS.pdf.download.pdf/Newsletter%20BERENIS%20Nr.%2023%20-%20FRANCAIS.pdf</t>
  </si>
  <si>
    <t>https://www.bafu.admin.ch/dam/bafu/en/dokumente/elektrosmog/fachinfo-daten/Newsletter%20BERENIS%20Nr.%2023%20-%20ENGLISH.pdf.download.pdf/Newsletter%20BERENIS%20Nr.%2023%20-%20ENGLISH.pdf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</si>
  <si>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</si>
  <si>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</si>
  <si>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https://www.bafu.admin.ch/dam/bafu/en/dokumente/elektrosmog/fachinfo-daten/newsletter_berenis_nr._24_maerz_2021.pdf.download.pdf/Newsletter%20BERENIS%20Nr.%2024%20-%20March%202021.pdf</t>
  </si>
  <si>
    <t>https://www.bafu.admin.ch/dam/bafu/de/dokumente/elektrosmog/fachinfo-daten/newsletter-berenis-nr-25.pdf.download.pdf/Newsletter%20BERENIS%20Nr.%2025%20-%20Mai%202021.pdf</t>
  </si>
  <si>
    <t>https://www.bafu.admin.ch/dam/bafu/fr/dokumente/elektrosmog/fachinfo-daten/newsletter-berenis-nr-25.pdf.download.pdf/Newsletter%20BERENIS%20N%C2%B0%2025%20-%20Mai%202021.pdf</t>
  </si>
  <si>
    <t>https://www.bafu.admin.ch/dam/bafu/en/dokumente/elektrosmog/fachinfo-daten/newsletter-berenis-nr-25.pdf.download.pdf/Newsletter%20BERENIS%20Nr.%2025%20-%20May%202021.pdf</t>
  </si>
  <si>
    <t>https://www.bafu.admin.ch/dam/bafu/de/dokumente/elektrosmog/fachinfo-daten/newsletter-berenis-nr-26-2021.pdf.download.pdf/Newsletter%20BERENIS%20Nr.%2026%20-%20September%202021.pdf</t>
  </si>
  <si>
    <t>https://www.bafu.admin.ch/dam/bafu/fr/dokumente/elektrosmog/fachinfo-daten/newsletter-berenis-nr-26-2021.pdf.download.pdf/Newsletter%20BERENIS%20N%C2%B0%2026%20-%20Septembre%202021.pdf</t>
  </si>
  <si>
    <t>https://www.bafu.admin.ch/dam/bafu/en/dokumente/elektrosmog/fachinfo-daten/newsletter-berenis-nr-26-2021.pdf.download.pdf/Newsletter%20BERENIS%20Nr.%2026%20-%20September%202021_en.pdf</t>
  </si>
  <si>
    <t>https://www.bafu.admin.ch/dam/bafu/de/dokumente/elektrosmog/fachinfo-daten/newsletter-berenis-nr-27-dezember.pdf.download.pdf/Newsletter%20BERENIS%20Nr.%2027%20-%20Dezember%202021.pdf</t>
  </si>
  <si>
    <t>https://www.bafu.admin.ch/dam/bafu/fr/dokumente/elektrosmog/fachinfo-daten/newsletter-berenis-nr-27-dezember.pdf.download.pdf/Newsletter%20BERENIS%20N%C2%B0%2027%20-%20D%C3%A9cembre%202021.pdf</t>
  </si>
  <si>
    <t>https://www.bafu.admin.ch/dam/bafu/en/dokumente/elektrosmog/fachinfo-daten/newsletter-berenis-nr-27-dezember.pdf.download.pdf/Newsletter%20BERENIS%20Nr.%2027%20-%20December%202021.pdf</t>
  </si>
  <si>
    <t>https://www.bafu.admin.ch/dam/bafu/de/dokumente/elektrosmog/fachinfo-daten/newsletter-berenis-nr-28-maerz2022.pdf.download.pdf/Newsletter%20BERENIS%20Nr.%2028%20-%20DEUTSCH.pdf</t>
  </si>
  <si>
    <t>https://www.bafu.admin.ch/dam/bafu/fr/dokumente/elektrosmog/fachinfo-daten/newsletter-berenis-nr-28-maerz2022.pdf.download.pdf/Newsletter%20BERENIS%20Nr.%2028%20-%20FRANCAIS.pdf</t>
  </si>
  <si>
    <t>https://www.bafu.admin.ch/dam/bafu/en/dokumente/elektrosmog/fachinfo-daten/newsletter-berenis-nr-28-maerz2022.pdf.download.pdf/Newsletter%20BERENIS%20Nr.%2028%20-%20ENGLISH.pdf</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</si>
  <si>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</si>
  <si>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</si>
  <si>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</si>
  <si>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</si>
  <si>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</si>
  <si>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</si>
  <si>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</si>
  <si>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</si>
  <si>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</si>
  <si>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</si>
  <si>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</si>
  <si>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</si>
  <si>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</si>
  <si>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</si>
  <si>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</si>
  <si>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</si>
  <si>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</si>
  <si>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</si>
  <si>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</si>
  <si>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</si>
  <si>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</si>
  <si>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</si>
  <si>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</si>
  <si>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</si>
  <si>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</si>
  <si>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</si>
  <si>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</si>
  <si>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</si>
  <si>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</si>
  <si>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</si>
  <si>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</si>
  <si>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</si>
  <si>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</si>
  <si>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</si>
  <si>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</si>
  <si>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</si>
  <si>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</si>
  <si>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</si>
  <si>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</si>
  <si>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</si>
  <si>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</si>
  <si>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</si>
  <si>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</si>
  <si>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</si>
  <si>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</si>
  <si>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</si>
  <si>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</si>
  <si>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</si>
  <si>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</si>
  <si>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</si>
  <si>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</si>
  <si>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</si>
  <si>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</si>
  <si>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</si>
  <si>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</si>
  <si>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</si>
  <si>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</si>
  <si>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</si>
  <si>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</si>
  <si>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</si>
  <si>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</si>
  <si>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</si>
  <si>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</si>
  <si>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</si>
  <si>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</si>
  <si>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</si>
  <si>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</si>
  <si>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</si>
  <si>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</si>
  <si>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</si>
  <si>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</si>
  <si>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</si>
  <si>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</si>
  <si>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</si>
  <si>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</si>
  <si>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</si>
  <si>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</si>
  <si>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</si>
  <si>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</si>
  <si>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</si>
  <si>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</si>
  <si>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</si>
  <si>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</si>
  <si>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</si>
  <si>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</si>
  <si>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</si>
  <si>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</si>
  <si>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</si>
  <si>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</si>
  <si>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</si>
  <si>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</si>
  <si>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</si>
  <si>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</si>
  <si>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</si>
  <si>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</si>
  <si>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</si>
  <si>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</si>
  <si>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</si>
  <si>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</si>
  <si>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</si>
  <si>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</si>
  <si>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</si>
  <si>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</si>
  <si>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</si>
  <si>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</si>
  <si>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</si>
  <si>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</si>
  <si>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</si>
  <si>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</si>
  <si>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</si>
  <si>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</si>
  <si>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</si>
  <si>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</si>
  <si>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</si>
  <si>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</si>
  <si>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</si>
  <si>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</si>
  <si>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</si>
  <si>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</si>
  <si>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</si>
  <si>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</si>
  <si>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</si>
  <si>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</si>
  <si>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</si>
  <si>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</si>
  <si>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</si>
  <si>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</si>
  <si>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</si>
  <si>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</si>
  <si>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</si>
  <si>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</si>
  <si>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</si>
  <si>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</si>
  <si>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</si>
  <si>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</si>
  <si>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</si>
  <si>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</si>
  <si>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</si>
  <si>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</si>
  <si>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</si>
  <si>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</si>
  <si>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</si>
  <si>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</si>
  <si>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</si>
  <si>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</si>
  <si>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</si>
  <si>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</si>
  <si>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</si>
  <si>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</si>
  <si>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</si>
  <si>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</si>
  <si>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</si>
  <si>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</si>
  <si>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</si>
  <si>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</si>
  <si>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</si>
  <si>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</si>
  <si>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</si>
  <si>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</si>
  <si>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</si>
  <si>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</si>
  <si>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</si>
  <si>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</si>
  <si>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</si>
  <si>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</si>
  <si>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</si>
  <si>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</si>
  <si>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</si>
  <si>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</si>
  <si>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</si>
  <si>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</si>
  <si>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</si>
  <si>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</si>
  <si>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</si>
  <si>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</si>
  <si>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</si>
  <si>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</si>
  <si>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</si>
  <si>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</si>
  <si>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</si>
  <si>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</si>
  <si>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</si>
  <si>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</si>
  <si>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</si>
  <si>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</si>
  <si>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</si>
  <si>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</si>
  <si>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</si>
  <si>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</si>
  <si>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</si>
  <si>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</si>
  <si>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</si>
  <si>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</si>
  <si>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</si>
  <si>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</si>
  <si>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</si>
  <si>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</si>
  <si>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</si>
  <si>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</si>
  <si>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</si>
  <si>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</si>
  <si>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</si>
  <si>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</si>
  <si>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</si>
  <si>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</si>
  <si>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</si>
  <si>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</si>
  <si>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</si>
  <si>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</si>
  <si>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</si>
  <si>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</si>
  <si>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</si>
  <si>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</si>
  <si>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</si>
  <si>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</si>
  <si>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</si>
  <si>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</si>
  <si>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</si>
  <si>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</si>
  <si>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</si>
  <si>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</si>
  <si>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</si>
  <si>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</si>
  <si>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</si>
  <si>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</si>
  <si>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</si>
  <si>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</si>
  <si>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</si>
  <si>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</si>
  <si>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</si>
  <si>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</si>
  <si>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</si>
  <si>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</si>
  <si>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</si>
  <si>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</si>
  <si>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</si>
  <si>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</si>
  <si>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</si>
  <si>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</si>
  <si>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</si>
  <si>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</si>
  <si>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</si>
  <si>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</si>
  <si>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</si>
  <si>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</si>
  <si>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</si>
  <si>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</si>
  <si>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</si>
  <si>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</si>
  <si>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</si>
  <si>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</si>
  <si>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</si>
  <si>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</si>
  <si>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</si>
  <si>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</si>
  <si>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</si>
  <si>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</si>
  <si>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</si>
  <si>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</si>
  <si>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</si>
  <si>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</si>
  <si>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</si>
  <si>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</si>
  <si>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</si>
  <si>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</si>
  <si>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</si>
  <si>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</si>
  <si>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</si>
  <si>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</si>
  <si>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</si>
  <si>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</si>
  <si>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</si>
  <si>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</si>
  <si>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</si>
  <si>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</si>
  <si>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</si>
  <si>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</si>
  <si>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</si>
  <si>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</si>
  <si>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</si>
  <si>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</si>
  <si>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</si>
  <si>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</si>
  <si>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</si>
  <si>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</si>
  <si>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</si>
  <si>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</si>
  <si>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</si>
  <si>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DE</t>
  </si>
  <si>
    <t>EN</t>
  </si>
  <si>
    <t>FR</t>
  </si>
  <si>
    <t>Static</t>
  </si>
  <si>
    <t>Statique</t>
  </si>
  <si>
    <t>All frequency range</t>
  </si>
  <si>
    <t>Tout le domaine de fréquence</t>
  </si>
  <si>
    <t>Lignes ferrovières</t>
  </si>
  <si>
    <t>Train lines</t>
  </si>
  <si>
    <t>Occupational</t>
  </si>
  <si>
    <t>Professionnel</t>
  </si>
  <si>
    <t>Apareils électriques</t>
  </si>
  <si>
    <t>Hochspannungsleitungen, Erdmagnetfeld</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</si>
  <si>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</si>
  <si>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</si>
  <si>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 . Il n’est donc pas étonnant de ne pas avoir trouvé de relation avec les symptômes. La taille réduite de l’échantillon constitue un point faible de l’étude.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</si>
  <si>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</si>
  <si>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 décrivait déjà des problèmes de myéline chez les rats 
après une exposition à de hautes fréquences. </t>
  </si>
  <si>
    <t>Electrical devices</t>
  </si>
  <si>
    <t>Geomagnetic field</t>
  </si>
  <si>
    <t>Champ magnetique terrestre</t>
  </si>
  <si>
    <t>Powerlines</t>
  </si>
  <si>
    <t>Lignes à haute tension</t>
  </si>
  <si>
    <t>Cuisinères à induction</t>
  </si>
  <si>
    <t>Téléphonie mobile</t>
  </si>
  <si>
    <t>IRM</t>
  </si>
  <si>
    <t>Téléphones sans fil</t>
  </si>
  <si>
    <t>Transformateurs</t>
  </si>
  <si>
    <t>Etude épidémiologique</t>
  </si>
  <si>
    <t>Etudes sur les animaux</t>
  </si>
  <si>
    <t>Etude cellulaire</t>
  </si>
  <si>
    <t>Personnes exp. dans le cadre professionnel</t>
  </si>
  <si>
    <t>Electrohypersensibles</t>
  </si>
  <si>
    <t>Adultes (tous)</t>
  </si>
  <si>
    <t>Population générale</t>
  </si>
  <si>
    <t>Plantes</t>
  </si>
  <si>
    <t>Champignons</t>
  </si>
  <si>
    <t>Cultures cellulaires</t>
  </si>
  <si>
    <t>Autres animaux</t>
  </si>
  <si>
    <t>Aigüe</t>
  </si>
  <si>
    <t>Chronique</t>
  </si>
  <si>
    <t>Non déterminé</t>
  </si>
  <si>
    <t>Biomarqueurs</t>
  </si>
  <si>
    <t>Barrière hémato-encéphalique</t>
  </si>
  <si>
    <t>Peau</t>
  </si>
  <si>
    <t>Hormones</t>
  </si>
  <si>
    <t>Système immunitiare</t>
  </si>
  <si>
    <t>Fonction cognitives</t>
  </si>
  <si>
    <t>Sommeil</t>
  </si>
  <si>
    <t>Température</t>
  </si>
  <si>
    <t>Symptômes non spécifiques</t>
  </si>
  <si>
    <t>Comportement</t>
  </si>
  <si>
    <t>Femmes enceintes</t>
  </si>
  <si>
    <t>Induction cookers</t>
  </si>
  <si>
    <t>Mobile radio</t>
  </si>
  <si>
    <t>Cordless telephones</t>
  </si>
  <si>
    <t>Transformers</t>
  </si>
  <si>
    <t>Epidemiological study</t>
  </si>
  <si>
    <t>Animal study</t>
  </si>
  <si>
    <t>Cell study</t>
  </si>
  <si>
    <t>Occupationally exposed</t>
  </si>
  <si>
    <t>Electrohypersensitivity</t>
  </si>
  <si>
    <t>Adults (all)</t>
  </si>
  <si>
    <t>General population</t>
  </si>
  <si>
    <t>Plants</t>
  </si>
  <si>
    <t>Fungi</t>
  </si>
  <si>
    <t>Pregnant women</t>
  </si>
  <si>
    <t>Embryons, fœtus</t>
  </si>
  <si>
    <t>Prenatal</t>
  </si>
  <si>
    <t>Cell cultures</t>
  </si>
  <si>
    <t>Other animals</t>
  </si>
  <si>
    <t>Acute</t>
  </si>
  <si>
    <t>Chronic</t>
  </si>
  <si>
    <t>Not determined</t>
  </si>
  <si>
    <t>Blood-brain barrier</t>
  </si>
  <si>
    <t>Skin</t>
  </si>
  <si>
    <t>Immune system</t>
  </si>
  <si>
    <t>Cognitive functions</t>
  </si>
  <si>
    <t>Temperature</t>
  </si>
  <si>
    <t>Non-specific symptoms</t>
  </si>
  <si>
    <t>Behaviour</t>
  </si>
  <si>
    <t xml:space="preserve">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(&lt;0,3 ; 0,3–0,6 ; ≥0,6 µT). Lors de l’analyse des données, des facteurs comme l’âge, la formation, le revenu, l’état civil, le BMI et l’activité physique ont été pris en compte. Aucune des variables de l’exposition n’était liée de manière significative au risque de cancer du sein. Pour les personnes travaillant avec un champ magnétique de basse fréquence au moins égal à 0,6 µT, le risque de cancer du sein était 1,8 fois plus élevé (95 % IC : 0,82–3,95). Il existait également une relation entre le risque de développer un cancer et la durée de l’activité professionnelle en présence d’un champ magnétique accru (≥0,3 µT) de basse fréquence (p=0,06). Pour les personnes ayant travaillé pendant 30 ans et plus dans une telle profession, le risque était en effet 2,77 fois plus élevé (95 % IC : 0,98–7,82). D’autres mesures d’exposition comme l’âge au moment de la première exposition ou le cumul d’expositions aux champs magnétiques ne présentaient pas de relation cohérente. Bien qu’il s’agisse d’une des plus importantes études sur ce thème, le nombre de cas de cancer du sein est restreint ; la pertinence statistique est donc limitée. Pour pouvoir se prononcer avec une meilleure précision statistique sur le risque éventuel, il est nécessaire de procéder à une méta-analyse avec d’autres études ayant porté sur le cancer du sein chez l’homme.
</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</si>
  <si>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(&lt;0.3, 0.3-0.6, ≥0.6 µT). Factors such as age, education, 
household income, marital status, body mass index and physical activity were considered in the 
analyses. None of the exposure variables was significantly associated to breast cancer risk. Breast 
cancer risk of persons with occupations involving exposure to extremely low frequency magnetic fields 
of at least 0.6 µT was non-significantly increased by a factor of 1.8 (95% CI: 0.82-3.95). In addition, a 
tendency was found for an association between breast cancer risk and the total time worked in an 
occupation with increased exposure (≥0.3 µT) to extremely low frequency magnetic fields (p=0.06). 
For persons that have worked in such an occupation for 30 years or longer, risk was increased by the 
factor 2.77 (95% CI: 0.98-7.82). Other exposure features such as age during first exposure or 
cumulative magnetic field exposure did not show any consistent correlations. Although this is one of 
the largest studies on this topic, the number of breast cancer cases is small, and the statistical power 
thus limited. In order to make more statistically precise statements regarding a potential risk, it will be 
necessary to perform a meta-analysis with other studies related to breast cancer in men.</t>
  </si>
  <si>
    <t xml:space="preserve">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(&lt;0.3, 0.3-0.6, ≥0.6 µT). Bei der Datenanalyse wurden 
Faktoren wie Alter, Bildung, Einkommen, Zivilstand, BMI und körperliche Aktivität berücksichtigt. Keine 
der Expositionsvariablen war signifikant mit dem Brustkrebsrisiko assoziiert. Personen, die in einem 
Beruf mit einem niederfrequenten Magnetfeld von mindestens 0.6 µT arbeiteten, hatten ein 1.8-fach 
erhöhtes Risiko (95% KI: 0.82-3.95). Es bestand auch ein tendenzieller Zusammenhang zwischen dem 
Erkrankungsrisiko und der Beschäftigungsdauer in einem Beruf mit erhöhter (≥0.3 µT) 
niederfrequenter Magnetfeldexposition (p=0.06). Das Risiko war für Personen, die 30 und mehr Jahre
in einem solchen Beruf beschäftigt waren, um den Faktor 2.77 erhöht (95% KI: 0.98-7.82). Andere 
Expositionsmasse wie Alter bei der ersten Exposition oder kumulative Magnetfeldexposition zeigten 
keine konsistenten Zusammenhänge. Obwohl es sich um eine der grössten Studien zur Thematik 
handelt, ist die Zahl der Fälle mit Brustkrebs klein und damit die statistische Aussagekraft beschränkt. 
Um statistisch präzisere Aussagen zu einem möglichen Risiko zu machen, ist eine Meta-Analyse mit 
anderen Studien zu Brustkrebs bei Männern nötig.
</t>
  </si>
  <si>
    <t>Andere</t>
  </si>
  <si>
    <t xml:space="preserve">Andere </t>
  </si>
  <si>
    <t>Autre</t>
  </si>
  <si>
    <t>Other</t>
  </si>
  <si>
    <t>Unspezifisch</t>
  </si>
  <si>
    <t>Non spécifique</t>
  </si>
  <si>
    <t>Non specific</t>
  </si>
  <si>
    <t>Kategorie</t>
  </si>
  <si>
    <t>ID</t>
  </si>
  <si>
    <t>F1</t>
  </si>
  <si>
    <t>F2</t>
  </si>
  <si>
    <t>F3</t>
  </si>
  <si>
    <t>F4</t>
  </si>
  <si>
    <t>F5</t>
  </si>
  <si>
    <t>F6</t>
  </si>
  <si>
    <t>Q1</t>
  </si>
  <si>
    <t>Q2</t>
  </si>
  <si>
    <t>Q3</t>
  </si>
  <si>
    <t>Q4</t>
  </si>
  <si>
    <t>Q5</t>
  </si>
  <si>
    <t>Q6</t>
  </si>
  <si>
    <t>Q7</t>
  </si>
  <si>
    <t>Q8</t>
  </si>
  <si>
    <t>Q9</t>
  </si>
  <si>
    <t>Q10</t>
  </si>
  <si>
    <t>Q11</t>
  </si>
  <si>
    <t>Q12</t>
  </si>
  <si>
    <t>Q13</t>
  </si>
  <si>
    <t>Q14</t>
  </si>
  <si>
    <t>Q15</t>
  </si>
  <si>
    <t>S1</t>
  </si>
  <si>
    <t>S2</t>
  </si>
  <si>
    <t>S3</t>
  </si>
  <si>
    <t>S4</t>
  </si>
  <si>
    <t>S5</t>
  </si>
  <si>
    <t>S6</t>
  </si>
  <si>
    <t>S7</t>
  </si>
  <si>
    <t>W1</t>
  </si>
  <si>
    <t>W2</t>
  </si>
  <si>
    <t>W3</t>
  </si>
  <si>
    <t>Z1</t>
  </si>
  <si>
    <t>Z2</t>
  </si>
  <si>
    <t>Z3</t>
  </si>
  <si>
    <t>Z4</t>
  </si>
  <si>
    <t>Z5</t>
  </si>
  <si>
    <t>Z6</t>
  </si>
  <si>
    <t>Z7</t>
  </si>
  <si>
    <t>Z8</t>
  </si>
  <si>
    <t>Z9</t>
  </si>
  <si>
    <t>Z10</t>
  </si>
  <si>
    <t>Z11</t>
  </si>
  <si>
    <t>Z12</t>
  </si>
  <si>
    <t>Z13</t>
  </si>
  <si>
    <t>Z14</t>
  </si>
  <si>
    <t>Z15</t>
  </si>
  <si>
    <t>Z16</t>
  </si>
  <si>
    <t>Z17</t>
  </si>
  <si>
    <t>Z18</t>
  </si>
  <si>
    <t>Z19</t>
  </si>
  <si>
    <t>Z20</t>
  </si>
  <si>
    <t>Z21</t>
  </si>
  <si>
    <t>Z22</t>
  </si>
  <si>
    <t>U1</t>
  </si>
  <si>
    <t>U2</t>
  </si>
  <si>
    <t>U3</t>
  </si>
  <si>
    <t>U4</t>
  </si>
  <si>
    <t>U5</t>
  </si>
  <si>
    <t>U6</t>
  </si>
  <si>
    <t>U7</t>
  </si>
  <si>
    <t>U8</t>
  </si>
  <si>
    <t>U9</t>
  </si>
  <si>
    <t>U10</t>
  </si>
  <si>
    <t>U11</t>
  </si>
  <si>
    <t>U12</t>
  </si>
  <si>
    <t>U13</t>
  </si>
  <si>
    <t>Akut; Chronisch</t>
  </si>
  <si>
    <t>Hochspannungsleitungen; Mobilfunk</t>
  </si>
  <si>
    <t>Unspezifische Symptome; Kognitive Funktionen</t>
  </si>
  <si>
    <t>Fe1</t>
  </si>
  <si>
    <t>Frequenzbereich_einfach</t>
  </si>
  <si>
    <t>Fe2</t>
  </si>
  <si>
    <t>Fe3</t>
  </si>
  <si>
    <t>Se1</t>
  </si>
  <si>
    <t>Studientyp_einfach</t>
  </si>
  <si>
    <t>Se2</t>
  </si>
  <si>
    <t>Se3</t>
  </si>
  <si>
    <t>Se4</t>
  </si>
  <si>
    <t>Se5</t>
  </si>
  <si>
    <t>Se6</t>
  </si>
  <si>
    <t>Dosimetric study</t>
  </si>
  <si>
    <t>Theoretical study on mechanisms</t>
  </si>
  <si>
    <t>Kombinationseffekt von Umwelteinflüssen: NF-MF und Plastikweichmacher</t>
  </si>
  <si>
    <t>In der in vitro Studie von Chen et al. (2021) wurde die Wechselwirkung zweier Umweltfaktoren auf die Vermehrung von menschlichen aus Eihaut gewonnenen Zellen untersucht. Bei den zwei Umweltfaktoren handelte es sich einerseits um ein 50 Hz NF-MF, mit dem die Zellen für 1 bzw. 24 Stunden befeldet wurden, und andererseits um Diethylhexylphthalat (DEHP), einem industriell eingesetzten Weichmacher für Plastikprodukte. Die separate Exposition der Zellen mit jeweils einem der beiden Umweltfaktoren bei einer Dosis von 0.4 mT NF-MF oder 1 µM DEHP führte zu einer signifikanten Zunahme der Zellvermehrung um 10%. Hingegen war dieser Effekt bei tieferen Dosen von 0.2 mT NF-MF oder 0.1 µM DEHP nicht nachweisbar. Wurden die beiden tieferen Expositionen allerdings gleichzeitig durchgeführt, führte dies zu einem signifikanten Anstieg der Zellvermehrung, was auf einen additiven Effekt der beiden Umweltfaktoren hinweist. Im Weiteren wurde mittels pharmakologischer Inhibition und Bestimmung von aktivierten Signalproteinen die Signalkette identifiziert, die zu diesem additiven Effekt führte. Die Autoren zeigten, dass die Sphingosin-Kinase 1 (SphK1) dabei eine zentrale Rolle spielte. Diese Kinase kann Sphingolipide modifizieren, welche Bestandteile der Zellmembran sind, und zu denen beispielspeise die Ceramide gehören. Die zellproliferationsfördernden Signalmoleküle Akt und ERK sind dabei der Aktivierung der SphK1 vor_x0002_bzw. nachgeschaltet. Diese Studie von Chen et al. (2021) zeigte also, dass die Kombination von 50 Hz NF-MF und DEHP bei tieferen Dosen als die jeweils einzelnen Expositionen die Zellproliferation erhöhte. Solchen Wechselwirkungen zwischen EMF und anderen Umwelteinflüssen bezüglich biologischen Auswirkungen wurde jüngst vermehrt Aufmerksamkeit geschenkt. Dabei wurde meistens beobachtet, dass eine EMF-Exposition zwar alleine eher marginale Effekte hervorrief, aber durchaus Zellreaktionen eines zweiten etablierten Umweltfaktors modulieren kann. Es bleibt aber abzuklären, ob solche additiven Effekte, wie sie in dieser Studie festgestellt wurden, allgemeingültig oder aber spezifisch für diesen Zelltyp beziehungsweise diese Kombination von Umweltfaktoren sind.</t>
  </si>
  <si>
    <t>Vorübergehender mitochondrialer Stress durch HF-EMF</t>
  </si>
  <si>
    <t>In der in vitro Studie von Xie et al. (2021) wurde der Einfluss eines HF-EMF (900 MHz, nicht moduliert, 
mit 120 µW/cm² (laut Autoren ein SAR-Wert von 0.25 mW/kg) 4 Stunden pro Tag während 5 Tagen) 
auf Anzeichen für mitochondrialen Stress untersucht. Als Vergleich wurde ionisierende 
Röntgenstrahlung verwendet. Die Autoren untersuchten zwei Parameter der mitochondrialen 
Stressantwort, einerseits die Bildung von reaktiven sauerstoffhaltigen Molekülen (ROS) und 
andererseits die Zellantwort auf falsch gefaltete Proteine, jeweils 30 Minuten, 4 und 24 Stunden nach 
der letzten Exposition der Knochenmarkstammzellen von Mäusen. 30 Minuten nach der HF-EMF Exposition war die Menge an ROS leicht erhöht, und diese Erhöhung war nach 4 Stunden noch nachweisbar. Im Vergleich zur Exposition mit Röntgenstrahlen war die Zunahme weniger stark ausgeprägt, wobei der Normalzustand in beiden Fällen nach 24 Stunden wiederhergestellt war. Das 
gleiche zeitliche Muster zeigte sich auch, wenn die Anzeichen für Proteinfalschfaltung angeschaut 
wurden. Die Mitochondrien-spezifischen Hitzeschockproteine HSP10 und HSP60 sowie die Protease 
ClpP, die solche falsch gefalteten Proteine abbauen, waren vorübergehend erhöht. Zudem zeigten die 
Autoren, dass diese Stressantwort durch die Janus-Kinase JNK2 vermittelt wurde.
Erwähnenswert ist dabei, dass die Effekte bei tiefer Exposition beobachtet wurden und den Effekten 
der als Positivkontrolle verwendeten ionisierenden Röntgenstrahlung ähnelten. Die Beobachtungen 
dieser Studie deuten darauf hin, dass die expositionsbedingten Hinweise auf mitochondrialen Stress 
vorübergehend sind, selbst nach mehrmaliger Exposition über 5 Tage. Allerdings gibt es bei dieser 
kleinen Studie zu bemängeln, dass die Exposition in einem System durchgeführt wurde, das nicht für 
Zellkulturen, sondern für Tiere konstruiert wurde, und dass die Dosimetrie unzureichend beschrieben 
beziehungsweise die Beschreibung der Dosimetrie schwer nachvollziehbar ist. Diese methodischen 
Unsicherheiten sollten also noch durch unabhängige Wiederholungen der Befunde reduziert werden.</t>
  </si>
  <si>
    <t xml:space="preserve">Khan et al. (2021a) führten in Finnland eine Kohortenstudie zu NF-MF-Exposition durch 
Transformatoren in Wohngebäuden und Hautkrebs durch. Den Anstoss für die Studie gaben unter 
anderem neuere Erkenntnisse über mögliche Auswirkungen von NF-MF auf lichtinduzierte 
Radikalreaktionen bei hohen Expositionen. In die Studie eingeschlossen wurden 225’492 Personen, die 
in Gebäuden mit Transformatorräumen lebten. Die durchschnittliche Nachbeobachtungszeit betrug 
dabei rund 15 Jahre. Auf Grundlage einer Datenbank zu Gebäuden in Finnland mit Transformatoren im 
Innenbereich [1] wurden 8’617 Personen, die seit mindestens sechs Monaten in einer Wohnung direkt 
über oder neben dem Transformatorraum lebten, als "exponiert" eingestuft. Diese wohnten alle 
entweder im Erdgeschoss oder im ersten Stock. Die übrigen Bewohnerinnen und Bewohner des 
Erdgeschosses und der ersten Etage (n=46’169) sowie der oberen Etagen (n=170’706) bildeten die 
Vergleichsgruppe. Anhand des finnischen Krebsregisters wurde für die Studienteilnehmenden 
ermittelt, ob Hautkrebsdiagnosen (Melanome und Plattenepithelkarzinome) ab einem Alter von 18 
Jahren oder darüber vorlagen. Bei der Datenanalyse wurde auch das Alter beim Einzug sowie 
Geschlecht und Geburtsjahr berücksichtigt. Insgesamt war das Risiko für exponierte Personen nicht 
erhöht, wobei 559 Fälle von Melanomen und 355 Fälle von Plattenepithelkarzinome ausgewertet 
werden konnten. Allerdings war bei exponierten Personen, die in den Wohnungen wohnten bevor sie 
das 15. Altersjahr erreichten, das relative Risiko etwa um den Faktor 2.5 erhöht (95% 
Konfidenzintervall 1.15 bis 5.69). Dieses erhöhte Risiko war hauptsächlich auf die Exposition vor dem 
10. Altersjahr zurückzuführen. Dieses Ergebnis basiert jedoch auf nur sieben exponierten und 42 nicht 
exponierten Melanom-Fällen.
Die Gesamtanalyse deutet nicht auf einen Zusammenhang zwischen häuslicher NF-MF-Exposition und 
Hautkrebs hin. Es kann aber nicht ausgeschlossen werden, dass eine NF-MF-Exposition in der Kindheit 
in ganz seltenen Fällen die Entwicklung eines Melanoms im späteren Leben begünstigen könnte. Die 
gleiche Schlussfolgerung wurde in derselben Kohorte auch in Bezug auf Leukämien und Hirntumoren 
gemacht: insgesamt wurde auch dort kein Zusammenhang beobachtet, jedoch in einer 
Subgruppenanalyse ein signifikant erhöhtes Risiko von akuter lymphatischer Leukämie basierend auf 
vier exponierten Fällen in der Kindheit (Khan et al. 2021b). Der Studienansatz ist innovativ, da er keinen Kontakt mit den Studienteilnehmenden erforderte und 
somit kein Selektionsbias auftreten kann. Eine Stärke der Studie ist zudem die Expositionsabschätzung, 
da gut belegt ist, dass die NF-MF-Exposition in Wohnungen in der Nähe von Transformatoren deutlich 
erhöht ist[2]. In der Analyse wurden nur wenige Störfaktoren berücksichtigt. Da für Bewohner im 
gleichen Haus systematische Unterschiede in Bezug auf die Wohnlage und die Lage des 
Transformatorraums unwahrscheinlich sind, wird aber mit diesem Studiendesign implizit für viele 
mögliche Störfaktoren kontrolliert. Der kritischste Störfaktor ist die UV-Belastung, und es lässt sich 
nicht völlig ausschließen, dass Kinder, die im Erdgeschoss wohnen und sich somit eher in der Nähe 
eines Transformators aufhalten, sich auch eher im Freien aufhalten. In einer Sensitivitätsanalyse, die 
sich auf Studienteilnehmende im Erdgeschoss und im ersten Stock beschränkte, wurden jedoch keine 
Hinweise auf einen derartigen Störfaktor gefunden. Die wichtigste Einschränkung der Studie ist die 
kleine Stichprobe von Teilnehmenden, die während ihrer Kindheit exponiert waren, so dass für diese 
Auswertung eine Bestätigung durch zusätzliche Studien erforderlich ist. [1] Database of Finnish Buildings with Indoor Transformer Stations [2] Siehe Messungen aus der Schweiz: Röösli M, Jenni D, Kheifets L, Mezei G (2011): Extremely low frequency 
magnetic field measurements in buildings with transformer stations in Switzerland. Science of the Total 
Environment, 2011, 409 (18): 3364-3369.
</t>
  </si>
  <si>
    <t>Effet combiné de facteurs environnementaux : CM-BF et plastifiants</t>
  </si>
  <si>
    <t>L’étude in vitro de Chen et al. (2021) a porté sur l’interaction de deux facteurs environnementaux sur 
la multiplication de cellules amniotiques humaines. Les deux facteurs environnementaux étaient, 
d’une part, un CM-BF de 50 Hz auquel les cellules ont été exposées durant 1 ou 24 heures et, d’autre 
part, le phtalate de diéthylhexyle (DEHP), un plastifiant industriel utilisé dans les produits en plastique. 
L’exposition des cellules à l’un ou l’autre des deux facteurs, à une dose de 0,4 mT CM-BF ou de 1 µM 
DEHP, a entraîné une augmentation significative de 10 % de la multiplication cellulaire. En revanche, 
cet effet n’a pas été détecté à des doses plus faibles (0,2 mT CM-BF ou 0,1 µM DEHP). Cependant, 
lorsque les deux expositions aux faibles doses ont été réalisées simultanément, il s’en est suivi une 
augmentation significative de la multiplication des cellules, ce qui indique un effet additif des deux 
facteurs environnementaux. Par ailleurs, l’inhibition pharmacologique et le dosage des protéines de 
signalisation activées ont permis d’identifier la chaîne de signalisation à l’origine de cet effet additif. 
Les auteurs ont montré que la sphingosine kinase 1 (SphK1) a joué un rôle central dans ce processus. 
Cette kinase peut modifier les sphingolipides, qui sont des composants de la membrane cellulaire et 
regroupent, par exemple, les céramides. Les molécules de signalisation Akt et ERK, qui favorisent la 
prolifération cellulaire, sont situées en amont ou en aval de l’activation de SphK1.
Cette étude de Chen et al. (2021) a donc révélé que, sous l’action combinée d’un CM-BF de 50 Hz et 
du DEHP, la prolifération cellulaire augmentait à des doses plus faibles que celles utilisées lors des 
expositions individuelles. De telles interactions entre les CEM et d’autres facteurs environnementaux 
concernant les effets biologiques ont récemment fait l’objet d’une attention accrue. La plupart du 
temps, il a été observé qu’une exposition aux CEM, bien qu’elle produise à elle seule des effets plutôt 
marginaux, peut tout à fait moduler les réactions cellulaires d’un deuxième facteur environnemental 
reconnu. Il reste cependant à examiner si de tels effets additifs, tels que ceux constatés dans cette 
étude, sont de portée générale ou sont spécifiques à ce type de cellules ou à cette combinaison de 
facteurs environnementaux.</t>
  </si>
  <si>
    <t>Stress mitochondrial temporaire dû à des CEM-HF</t>
  </si>
  <si>
    <t>L’étude in vitro de Xie et al. (2021) a porté sur l’influence d’un CEM-HF (900 MHz, non modulé, densité 
surfacique de puissance de 120 µW/cm² [selon les auteurs, une valeur TAS de 0,25 mW/kg] pendant 
4 heures par jour durant 5 jours) sur les indices de stress mitochondrial. Des rayons X (rayonnement 
ionisant) ont été utilisés à titre de comparaison. Les auteurs ont examiné deux paramètres de la 
réponse au stress mitochondrial : la formation de dérivés réactifs de l’oxygène (DRO ou ROS en anglais) 
et la réponse cellulaire aux protéines mal repliées, respectivement 30 minutes, 4 heures et 24 heures 
après la dernière exposition de cellules souches de moelle osseuse de souris. Ainsi, 30 minutes après 
l’exposition au CEM-HF, la quantité de DRO avait légèrement augmenté, et cette hausse était encore détectable après 4 heures. Par rapport à l’exposition aux rayons X, l’augmentation était moins 
prononcée, l’état normal étant rétabli dans les deux cas au bout de 24 heures. Le même schéma 
temporel a été observé lorsque les signes de mauvaise conformation des protéines ont été examinés. 
L’élévation du taux de protéines de choc thermique spécifiques aux mitochondries HSP10 et HSP60 
ainsi que celle du taux de la protéase ClpP, qui dégradent les protéines mal repliées, étaient 
temporaires. En outre, les auteurs ont montré que cette réponse au stress était générée par la Janus 
kinase JNK2.
Il convient de mentionner que les effets ont été observés à de faibles niveaux d’exposition et qu’ils 
étaient similaires aux effets des rayons X utilisés à titre de contrôle positif. Les observations de cette 
étude indiquent que les indices de stress mitochondrial liés à l’exposition sont temporaires, même 
après des expositions répétées durant cinq jours. On peut toutefois regretter que, dans cette petite 
étude, l’exposition ait été réalisée dans un système conçu non pas pour des cultures cellulaires, mais 
pour des animaux, et que la dosimétrie ne soit pas suffisamment décrite ou que la description de celle ci soit difficilement compréhensible. Ces incertitudes méthodologiques devraient donc encore être 
levées au moyen de réplications indépendantes des expériences.</t>
  </si>
  <si>
    <t>CM-BF dans les bâtiments d’habitation et cancer de la peau (Khan et al. 2021a) ainsi que tumeurs 
cérébrales et leucémies</t>
  </si>
  <si>
    <t>Khan et al. (2021a) ont mené une étude de cohorte en Finlande sur la relation entre le cancer de la 
peau et une exposition aux CM-BF due à des transformateurs présents dans des bâtiments 
d’habitation. Les connaissances récentes sur les effets possibles des CM-BF sur les réactions 
radicalaires induites par la lumière en cas de forte exposition ont, entre autres, incité à entreprendre 
cette étude. Celle-ci a porté sur 225 492 personnes vivant dans des bâtiments abritant des 
transformateurs. La durée moyenne de suivi était d’environ quinze ans. Selon une base de données 
recensant les bâtiments en Finlande accueillant des transformateurs [1], 8617 personnes vivant depuis 
au moins six mois dans un appartement situé directement au-dessus ou à côté du local abritant un 
transformateur ont été classées comme « exposées ». Elles habitaient toutes soit au rez-de-chaussée, 
soit au premier étage. Les autres habitants du rez-de-chaussée et du premier étage (n = 46 169) ainsi 
que ceux des étages supérieurs (n = 170 706) constituaient le groupe de comparaison. On a déterminé, 
à l’aide du registre finlandais du cancer, si des diagnostics de cancer de la peau (mélanomes et 
carcinomes épidermoïdes) avaient été posés pour des participants à l’étude âgés de 18 ans ou plus. 
L’analyse des données a également pris en compte l’âge au moment de l’occupation initiale de 
l’appartement ainsi que le sexe et l’année de naissance. Globalement, les personnes exposées 
n’étaient pas soumises à un risque accru, ce résultat étant fondé sur l’évaluation de 559 cas de 
mélanomes et 355 cas de carcinomes épidermoïdes. Cependant, pour les personnes exposées qui 
vivaient dans les logements avant d’atteindre l’âge de quinze ans, le risque relatif était augmenté 
environ d’un facteur 2,5 (intervalle de confiance à 95 % : 1,15 à 5,69). Cette augmentation du risque 
était principalement due à l’exposition avant l’âge de dix ans. Ce résultat se base toutefois sur 
seulement sept cas de mélanome exposés et 42 cas non exposés.
L’analyse globale ne suggère pas de lien entre l’exposition domestique aux CM-BF et le cancer de la 
peau. On ne peut toutefois pas exclure qu’une exposition aux CM-BF durant l’enfance puisse, dans de 
très rares cas, favoriser le développement d’un mélanome plus tard dans la vie. La conclusion vaut également pour les leucémies et les tumeurs cérébrales analysées dans la même cohorte : dans 
l’ensemble, aucun lien n’a en effet été observé, mais dans une analyse de sous-groupe, le risque de 
leucémie lymphoïde aiguë a été significativement accru sur la base de quatre cas exposés dans 
l’enfance (Khan et al. 2021b). 
L’approche de l’étude est innovante, car elle n’a pas nécessité de contact avec les participants à 
l’étude, ce qui évite tout biais de sélection. L’estimation de l’exposition est en outre un point fort de 
l’étude, puisqu’il est bien établi que l’exposition aux CM-BF est nettement plus élevée dans les 
appartements situés à proximité de transformateurs [2]
. Seuls quelques facteurs potentiels de confusion 
ont été pris en compte dans l’analyse. Cependant, comme il est peu probable que des différences 
systématiques soient observées pour les habitants d’un même bâtiment en ce qui concerne le lieu 
d’habitation et l’emplacement du local du transformateur, cette approche permet de contrôler 
implicitement de nombreux facteurs possibles. Le facteur potentiel de confusion le plus critique est 
l’exposition aux UV, et il ne peut pas être totalement exclu que les enfants vivant au rez-de-chaussée, 
et donc plus susceptibles de se trouver à proximité d’un transformateur, soient également plus enclins 
à se trouver en plein air. Une analyse de sensibilité limitée aux participants à l’étude vivant au rez-de chaussée et au premier étage n’a toutefois pas permis de trouver d’indices de l’existence d’un tel 
facteur de confusion. La principale limite de l’étude est constituée par la petite taille de l’échantillon 
de participants exposés pendant leur enfance, de sorte que le résultat de l’évaluation nécessite une 
confirmation par des études supplémentaires. [1] Database of Finnish Buildings with Indoor Transformer Stations
[2] Voir les mesures effectuées en Suisse : Röösli M, Jenni D, Kheifets L, Mezei G (2011) : Extremely low 
frequency magnetic field measurements in buildings with transformer stations in Switzerland. Science of the 
Total Environment, 2011, 409 (18) : 3364-3369.</t>
  </si>
  <si>
    <t>Combined effect of environmental exposures: extremely low-frequency electromagnetic fields and 
plasticizer</t>
  </si>
  <si>
    <t xml:space="preserve">In this in vitro study, Chen et al. (2021) investigated the interaction of two environmental factors on 
the proliferation of human amniotic cells. The cells were exposed to a 50 Hz ELF-MF for 1 or 24 hours, 
and to diethylhexyl phthalate (DEHP), an industrially used plasticizer. Single exposure of cells to either 
environmental factor at an exposure/dose of 0.4 mT ELF-MF or 1 µM DEHP resulted in a significant 
increase in cell proliferation by 10%. This effect was not detectable at lower exposures/doses of 0.2 
mT ELF-MF or 0.1 µM DEHP. Yet, when the two lower exposures/doses were applied simultaneously, 
cell proliferation was again significantly increased, indicating an additive effect of the two 
environmental factors. Furthermore, the signaling cascade leading to this additive effect was identified 
by pharmacological inhibition and determination of activated signaling proteins. The authors showed 
that the sphingosine kinase 1 (SphK1) played a central role in this process. This kinase can modify 
sphingolipids (for example, ceramides), which are components of the cell membrane. The 
proliferation-promoting signaling molecules Akt and ERK are upstream and downstream of the SphK1 
activation, respectively.
The study by Chen et al. (2021) showed that combined exposure to 50 Hz ELF-MF and DEHP enhanced 
cell proliferation at lower doses than single exposures. Interactions between EMF and other 
environmental agents with respect to biological effects have recently received increased scientific 
attention. Frequently, it has been observed that EMF exposure alone resulted in marginal effects, but 
may modulate cellular responses to a second environmental cue. Nevertheless, it remains to be 
clarified whether such additive effects, as found in this study, are limited to specific cell types or 
combination of environmental factors, or a more general phenomenon.
</t>
  </si>
  <si>
    <t>Induction of a transient mitochondrial stress by radiofrequency electromagnetic fields</t>
  </si>
  <si>
    <t xml:space="preserve">In the in vitro study by Xie et al. (2021), the influence of an RF-EMF (unmodulated 900 MHz, 120 
µW/cm², SAR according to the authors: 0.25 mW/kg) for 4 hours per day for 5 days on signs of 
mitochondrial stress was investigated. 30 minutes, 4 hours, and 24 hours after the last exposure of 
mouse bone marrow stem cells, the authors studied two parameters of mitochondrial stress response, 
namely, the formation of reactive oxygen species (ROS) and the misfolded protein response. X-ray 
exposure was used as a comparator. 30 minutes after RF-EMF exposure, the amount of ROS was 
slightly increased, and this increase was still detectable after 4 hours. The increase was less 
pronounced compared to the X-ray exposure. For both, the normal state was restored after 24 hours. 
The same temporal pattern was found when analyzing indicators of protein misfolding. The 
mitochondria-specific heat shock proteins HSP10 and HSP60, as well as the protease ClpP that degrades such misfolded proteins, were temporally elevated. Moreover, the authors showed that this 
stress response was mediated by the Janus kinase JNK2.
Notably, these effects were observed at low exposure levels and were similar to the response to 
ionizing X-rays, used as a positive control. The results of this study indicate that RF-EMF-related 
mitochondrial stress is transient, even after multiple exposures over 5 days. However, weaknesses of 
this small study are that the exposure system was designed for animals rather than cell cultures, and 
that the description of the dosimetry is inadequate, and thereby difficult to replicate. Thus, these 
methodological uncertainties need to be eliminated by independent replications of the findings.
</t>
  </si>
  <si>
    <t xml:space="preserve">Extremely low frequency magnetic fields in residential buildings and skin cancer (Khan et al. 2021a), 
brain tumors and leukemia </t>
  </si>
  <si>
    <t>Khan et al. (2021a) conducted a cohort study on ELF-MF exposure from residential transformers and 
skin cancer in Finland. To some extent, the study was motivated by recent reports about possible 
effects of ELF-MF on photoinduced radical reactions at high exposure levels. The study included 
225,492 individuals living in buildings with transformer rooms, with a mean follow-up period of about 
15 years. Based on a dataset of buildings in Finland with indoor transformer stations, 8617 individuals 
who had lived in an apartment directly above or next to the transformer room for at least six months 
were classified as ‘exposed’. They all lived on either the first floor or the ground floor. The remaining 
residents of the first and ground floors (n=46,169) and the upper floors (n=170,706) served as the 
reference group. The Finnish Cancer Registry was used to determine whether study participants had 
been diagnosed for skin cancer (melanoma and squamous cell carcinoma) at 18 years of age or older. 
Analysis of the data accounted for age at start of residence, sex, and year of birth. Overall, there was 
no increased risk for exposed individuals, with 559 cases of melanoma and 355 cases of squamous cell 
carcinoma evaluated. However, among exposed individuals who lived in the apartments before they 
reached 15 years of age, the relative risk was increased by approximately a factor of 2.5 (95% 
confidence interval 1.15 to 5.69). This increased risk was mainly due to exposure before the age of 10 
years. However, this result is based on only seven exposed and 42 unexposed melanoma cases.
Overall, the study results do not indicate an association between residential ELF-MF exposure and skin 
cancer. However, it cannot be ruled out that ELF-MF exposure in childhood might, in very rare cases, 
favor the development of melanoma later in life. A similar conclusion was drawn with regard to 
leukemia and brain tumors in the same cohort: overall, no association was found, although a subgroup 
analysis based on four exposed cases in childhood showed a significantly increased risk of acute 
lymphoblastic leukemia (Khan et al. 2021b). 
The study approach is innovative since it did not require any contact or interaction with the study 
participants, and thus no selection bias could have occurred. Moreover, a strength of the study is the 
exposure assessment, as it is well documented that ELF-MF exposure is substantially increased in 
apartments located close to transformers.1
 The analyses only accounted for few confounders. 
However, as it is unlikely that there are systematic differences regarding residential location and 
transformer room location for residents of the same house, this study design implicitly controls for 
many potential confounders. The most critical confounder is UV exposure, and it cannot be completely 
ruled out that children who live on the ground floor and thus are more likely to be near a transformer are also more likely to spend time outdoors. However, a sensitivity analysis limited to study 
participants living on the first and ground floor found no evidence for such type of confounding. The 
main limitation of the study is the small sample of participants exposed during childhood, so that this 
evaluation requires confirmation from additional studies. [1] See measurements in Switzerland: Röösli M, Jenni D, Kheifets L, Mezei G (2011): Extremely low frequency 
magnetic field measurements in buildings with transformer stations in Switzerland. Science of the Total 
Environment, 2011, 409 (18): 3364-3369</t>
  </si>
  <si>
    <t>https://www.bafu.admin.ch/dam/bafu/de/dokumente/elektrosmog/fachinfo-daten/newsletter-berenis-nr-29-juni-2022.pdf.download.pdf/Newsletter%20BERENIS%20Nr.%2029%20-%20Juni%202022.pdf</t>
  </si>
  <si>
    <t>https://www.bafu.admin.ch/dam/bafu/fr/dokumente/elektrosmog/fachinfo-daten/newsletter-berenis-nr-29-juni-2022.pdf.download.pdf/Newsletter%20BERENIS%20N%C2%B0%2029%20-%20Juin%202022.pdf</t>
  </si>
  <si>
    <t>https://www.bafu.admin.ch/dam/bafu/en/dokumente/elektrosmog/fachinfo-daten/newsletter-berenis-nr-29-juni-2022.pdf.download.pdf/Newsletter%20BERENIS%20Nr.%2029%20-%20June%202022.pdf</t>
  </si>
  <si>
    <t>Chen L, Ye A, Liu X, Lu J, Xie Q, Guo Y, Sun W</t>
  </si>
  <si>
    <t>Combined effect of co-exposure to di (2- ethylhexyl) phthalates and 50-Hz magnetic-fields on promoting human amniotic cells proliferation.</t>
  </si>
  <si>
    <t>Ecotoxicol Environ Saf.</t>
  </si>
  <si>
    <t>2021 Aug 26;224:112704</t>
  </si>
  <si>
    <t>https://pubmed.ncbi.nlm.nih.gov/34455183/</t>
  </si>
  <si>
    <t>Xie W, Xu R, Fan C, Yang C, Chen H, Cao Y</t>
  </si>
  <si>
    <t>900 MHz Radiofrequency Field Induces Mitochondrial Unfolded Protein Response in Mouse Bone Marrow Stem Cells.</t>
  </si>
  <si>
    <t xml:space="preserve">Front Public Health. </t>
  </si>
  <si>
    <t>2021 Aug 26;9:724239</t>
  </si>
  <si>
    <t>https://pubmed.ncbi.nlm.nih.gov/34513791/</t>
  </si>
  <si>
    <t>Khan MW, Juutilainen J, Naarala J, Roivainen P</t>
  </si>
  <si>
    <t>Residential extremely low frequency magnetic fields and skin cancer.</t>
  </si>
  <si>
    <t>Occup Environ Med.</t>
  </si>
  <si>
    <t>https://pubmed.ncbi.nlm.nih.gov/34593542/</t>
  </si>
  <si>
    <t>Khan MW, Juutilainen J, Auvinen A, Naarala J, Pukkala E, Roivainen P</t>
  </si>
  <si>
    <t>A cohort study on adult hematological malignancies and brain tumors in relation to magnetic fields from indoor transformer stations.</t>
  </si>
  <si>
    <t>https://pubmed.ncbi.nlm.nih.gov/33601135/</t>
  </si>
  <si>
    <t xml:space="preserve">Unspezifische Symptome; Schlaf </t>
  </si>
  <si>
    <t>Kognitive Funktionen; Elektrische Gehirnaktivität (Hirnströme, EEG)</t>
  </si>
  <si>
    <t>Schwangere Frauen; Ungeborene</t>
  </si>
  <si>
    <t>"NTP-Studie"</t>
  </si>
  <si>
    <t>"Ramazzini-Studie"</t>
  </si>
  <si>
    <t>Kognitive Funktionen; Verhalten</t>
  </si>
  <si>
    <t>Zellstudie; Tierstudie</t>
  </si>
  <si>
    <t>Zellkulturen; Andere Tiere</t>
  </si>
  <si>
    <t>Mobilfunk; unspezifisch</t>
  </si>
  <si>
    <t>Schlaf; Kognitive Funktionen; Unspezifische Symptome</t>
  </si>
  <si>
    <t>Elektrische Gehirnaktivität (Hirnströme, EEG); Schlaf; Kognitive Funktionen; Unspezifische Symptome</t>
  </si>
  <si>
    <t>Hochspannungsleitungen; Transformatoren</t>
  </si>
  <si>
    <t>nicht EMF-bezogen</t>
  </si>
  <si>
    <t>nicht EMF-bezogen; Zielgrösse: Kurzsichtigkeit</t>
  </si>
  <si>
    <t>Hochfrequente elektromagnetische Felder und neuronale Differenzierung</t>
  </si>
  <si>
    <t>Die Studie von Niederhäusern et al. (2019) untersuchte wie bereits die Studie von Özgün et al. (2019, siehe oben) EMF-Effekte auf die neuronale Differenzierung, in diesem Fall von Neuroblastom-Zellen. Der Fokus lag hier auf dem Einfluss eines HF-EMF (935 MHz, 4 W/kg, 217-Hz pulsmoduliert, für 24 Stunden mit jeweils abwechselnd zwei Minuten Exposition und Pausen dazwischen). Neben zellulären Signalwegen, die in Differenzierung und Neurodegeneration involviert sind, wurde auch oxidativer Stress und eine daraus resultierende mögliche Beeinflussung der Zellatmung untersucht. Beeinträchtigungen der mitochondrialen Funktionen sind für neurodegenerative Erkrankungen wie Alzheimer oder Parkinson beschrieben. HF-EMF hatten einen Einfluss auf die Differenzierung in neuronalen Zellen, und es wurde ein Trend zu einer verstärkten Aktivierung der Proteine ERK1/2 und Akt (involviert in Differenzierung) beobachtet (nicht signifikant). Proteine des Wnt-Signalweges wurden nicht HF-EMF-abhängig reguliert. HF-EMF-Exposition hatte keinen Effekt auf die mitochondriale Atmung unter physiologischen Bedingungen. Bei Stress durch Glukose-Entzug im Medium war die maximale Zellatmung in HF-EMF-exponierten Zellen gehemmt. Dieser Effekt wurde dadurch unterstützt, dass HF-EMF vermehrt oxidativen Stress (gemessen via GSH-Konzentration) in der Zelle produzierten. Mitochondriale Marker für Fusion und Fission von Mitochondrien, welche für die Aktivität dieser Zellorganellen zuständig sind, wurden durch HF-EMF-Exposition nicht beeinflusst. Unter physiologischen Bedingungen wurden lediglich Trends für eine Beeinträchtigung der neuronalen Differenzierung beobachtet. Unter Stress wie z.B. Glukosemangel reagierten HF-EMF-befeldete Zellen jedoch mit oxidativem Stress und gestörter Zellatmung.</t>
  </si>
  <si>
    <t>Effects of radiofrequency electromagnetic field exposure on neuronal differentiation and mitochondrial function in SH-SY5Y cells</t>
  </si>
  <si>
    <t>Toxicol In Vitro</t>
  </si>
  <si>
    <t>2019 Jul 24;61:104609</t>
  </si>
  <si>
    <t>von Niederhäusern N, Ducray A, Zielinski J, Murbach M, Mevissen M</t>
  </si>
  <si>
    <t>https://www.ncbi.nlm.nih.gov/pubmed/31351122</t>
  </si>
  <si>
    <t>nicht EMF-bezogen; weitere Zielgrösse: mentale Gesundheit</t>
  </si>
  <si>
    <t>diverse Symptome im Zusammenhang mit EHS</t>
  </si>
  <si>
    <t>Zielgrösse: Zellvermehrung/Zellalterung</t>
  </si>
  <si>
    <t>Zielgrösse: Gehirnvolumen</t>
  </si>
  <si>
    <t>Studientyp: Pflanzenstudie</t>
  </si>
  <si>
    <t>Schlaf; Unspezifische Symptome</t>
  </si>
  <si>
    <t>Neurogenese</t>
  </si>
  <si>
    <t>Hautalterung</t>
  </si>
  <si>
    <t>ausserdem: Morphologie von Neuriten</t>
  </si>
  <si>
    <t>Entwickung von Neuronen</t>
  </si>
  <si>
    <t>Studientyp: Studie zur Risikowahrnehmung; Zielgrösse: Risikowahrnehmung</t>
  </si>
  <si>
    <t>Niederfrequente Magnetfelder in Wohngebäuden und Hautkrebs sowie Hirntumore und Leukämien</t>
  </si>
  <si>
    <t>Kombinationseffekt von Umwelteinflüssen: HF-EMF und Hitzeakklimatisierung und Wirkungen auf Angst und Depression unter Berücksichtigung der Darm-Gehirn-Achse</t>
  </si>
  <si>
    <t>Die Darmflora beeinflusst die Energiehomöostase, den Metabolismus, das Blut-Glukose-Gleichgewicht und die Immunantwort. Noch bedeutender ist ihre Rolle bei der Erhaltung physiologischer Funktionen im Gehirn. Sie trägt zu Verhalten, Gehirnentwicklung, Altern sowie zur Entstehung oder zum Krankheitsbild neurodegenerativer Erkrankungen bei. So kann eine Veränderung der Darmflora zu einer Veränderung der Mikroglia, also des Abwehrsystems, im Gehirn führen.
In der subchronischen in vivo Studie von Luo et al. (2021) wurden männliche Mäuse des Stammes C57BL/6J in vier Gruppen unterteilt, mit und ohne Hitzeakklimatisation (35°C oder 28°C) in den ersten 28 Tagen gefolgt von 5 Wochen HF-EMF-Exposition oder Scheinexposition. Dabei wurde die Wechselwirkung zwischen der Darm-Gehirn-Achse bei Mäusen unter HF-EMF-Einfluss (2450 MHz, 2 μs/Puls, 500 Pulse/Sekunde, 4 Stunden/Tag; Ganzkörper-SAR 2.5 W/kg) und Hitzeakklimatisierung (35°C anstatt 28°C) untersucht. Anhand von Verhaltenstests wurden Wirkungen wie Angst und Depression analysiert. Zudem wurde die Darmflora mittels Sequenzierung bestimmt, sowie Serumparameter wie beispielsweise Tryptophan und Phenylalanin, und auch Cholesterol und Fruktose, die in anderen Studien nachweislich mit Depression korreliert waren.
Die Verhaltenstests ergaben keine Hinweise auf eine Beeinflussung des Angstverhaltens bei beiden Zeitpunkten, während die Tiere nach 5-wöchiger HF-EMF-Exposition vermehrt Anzeichen von Depression zeigten. Gleichzeitig waren die Genaktivitäten verschiedener Bakterien verändert, was bei gleichzeitiger Hitzeakklimatisation nicht der Fall war. Die Hitzeakklimatisation verbesserte ausserdem einige der oben genannten Serumparameter. Die Analyse der Signalwege ergab eine Interaktion mit dem Metabolismus von Tryptophan und Pyrimidin sowie der Aminosäuren-Biosynthese. Die Autoren schlussfolgern, dass die beschriebene HF-EMF-Exposition zu depressionsähnlichen neurologischen Verhaltensstörungen führt, die möglicherweise auf ein Ungleichgewicht der Darmflora zurückzuführen sind. Zudem ist die Darmflora an den Wirkungen der Hitzeakklimatisation beteiligt.
Auch wenn es Hinweise auf die Beteiligung der Darm-Hirn-Achse auf das vermehrte Auftreten von Depression im Zusammenhang mit einer Veränderung der Darmflora (die durch Hitzeakklimatisation aufgehoben werden konnte) gibt, kann aufgrund der hier vorliegenden Ergebnisse ein kausaler Zusammenhang nicht abschliessend festgestellt werden, dazu sind weiterführende Untersuchungen notwendig. Wie die Autoren selbst sagen, fehlen dazu die Bestimmung der Messparameter zu mehreren Zeitpunkten und vor allem Hemmung der relevanten Bakterien mittels Antibiotika und/oder fäkaler Transplantation dieser Darmflora.</t>
  </si>
  <si>
    <t>https://www.bafu.admin.ch/dam/bafu/de/dokumente/elektrosmog/fachinfo-daten/newsletter_berenis_n30.pdf.download.pdf/Newsletter_BERENIS_Nr._30_-_DEUTSCH.pdf</t>
  </si>
  <si>
    <t>https://www.bafu.admin.ch/dam/bafu/fr/dokumente/elektrosmog/fachinfo-daten/newsletter_berenis_n30.pdf.download.pdf/newsletter_berenis_n30.pdf</t>
  </si>
  <si>
    <t>https://www.bafu.admin.ch/dam/bafu/en/dokumente/elektrosmog/fachinfo-daten/newsletter_berenis_n30.pdf.download.pdf/Newsletter_BERENIS_Nr._30_-_ENGLISH.pdf</t>
  </si>
  <si>
    <t>https://www.bafu.admin.ch/dam/bafu/de/dokumente/elektrosmog/fachinfo-daten/newsletter-berenis-nr-32.pdf.download.pdf/Newsletter%20BERENIS%20Nr.%2031%20-%20DEUTSCH.pdf</t>
  </si>
  <si>
    <t>https://www.bafu.admin.ch/dam/bafu/fr/dokumente/elektrosmog/fachinfo-daten/newsletter-berenis-nr-32.pdf.download.pdf/Newsletter%20BERENIS%20Nr.%2031%20-%20FRANZOESISCH.pdf</t>
  </si>
  <si>
    <t>https://www.bafu.admin.ch/dam/bafu/en/dokumente/elektrosmog/fachinfo-daten/newsletter-berenis-nr-32.pdf.download.pdf/Newsletter%20BERENIS%20Nr.%2031%20-%20ENGLISH.pdf</t>
  </si>
  <si>
    <t>Gehirntumor-Risiko im Alter vom 10 bis 24 Jahren und Nutzung von Mobil- und Schnurlostelefonen</t>
  </si>
  <si>
    <t>In einer grossen und aufwendig konzipierten Fall-Kontroll-Studie («MOBI-Kids») wurde anhand von Daten aus 14 Ländern  untersucht, ob die Nutzung von Mobil- und Schnurlostelefonen und die daraus resultierende Exposition mit HF-EMF und NF-MF das Risiko von Hirntumoren bei jungen Menschen erhöht (Castaño-Vinyals et al. 2022). Das Studienkollektiv setzte sich zusammen aus 899 Menschen im Alter von 10 bis 24 Jahren, bei denen zwischen 2010 und 2015 ein Hirntumor diagnostiziert wurde, und 1'910 Kontrollpersonen im selben Alter und aus derselben Region, bei denen zum entsprechenden Zeitpunkt eine Blinddarmoperation durchgeführt wurde. Daten zur Nutzung von Mobil- und Schnurlostelefonen sowie anderen relevanten Faktoren wurden rückwirkend mit den Betroffenen und/oder den Eltern anhand von Fragebogen-Interviews erhoben. Zusätzlich wurde eine EMF-Dosisberechnung durchgeführt. Die Datenanalyse erfolgte getrennt in drei Altersgruppen (10 bis 14, 15-19 und 20 bis 24 Jahre), um den altersbedingten Unterschieden in der Mobilfunknutzung Rechnung zu tragen.
Gemäss den Hauptanalysen korrelierte eine zunehmende Nutzung von Mobil- und Schnurlostelefonen mit einer Abnahme des Risikos für Hirntumoren, insbesondere bei der Gruppe der 15-19-jährigen. Auch wenn die Analyse mit der kumulierten NF- oder HF-EMF-Dosis am Ort des Tumors statt mit der Nutzung durchgeführt wurde, ergaben sich ebenfalls abnehmende Risiken bei zunehmender Dosis. Weitergehende Analysen deuten jedoch darauf hin, dass dieser «schützende» Effekt nicht kausal ist. Wurden die Nutzungsdaten innerhalb von fünf Jahren vor der Diagnose nicht berücksichtigt und nur Angaben der Studienteilnehmenden, statt derjenigen ihrer Eltern, in Betracht gezogen, war der «schützende» Effekt statistisch auch nicht mehr feststellbar und es resultierte insgesamt kein Zusammenhang zwischen dem Auftreten von Hirntumoren und Mobil- sowie Schnurlostelefonnutzung. 
Die Autorinnen und Autoren schlussfolgern, dass die Studie keinen Anhaltspunkt für einen kausalen Zusammenhang zwischen der Nutzung von Mobil- und Schnurlostelefonen und dem Auftreten von Gehirntumoren in der untersuchten Altersgruppe liefert, auch wenn ein geringes Restrisiko nicht vollständig auszuschliessen sei. Dass scheinbar «schützende» Effekte beobachtet wurden, liege zum einen an den ungenauen Nutzungsangaben durch die Eltern und zum anderen daran, dass Symptome vor der Diagnose zu einer verminderten Mobil- und Schnurlostelefonnutzung geführt hätten und nicht umgekehrt (umgekehrte Kausalität).
Die von öffentlichen Geldern der beteiligten Länder und der EU finanzierte MOBI-Kids-Studie ist in dieser Altersgruppe die bisher grösste Studie zum Thema. Weitere Stärken der Studie sind beispielsweise, dass zahlreiche Sensitivitätsanalysen durchgeführt wurden, und dass sowohl hoch- als auch niederfrequente Strahlung eingeschlossen wurde. Fall-Kontroll-Studien beruhen jedoch auf rückwirkend gesammelten Informationen zur Exposition, welche mit Unsicherheiten behaftet sind. Konkret scheinen in diesem Fall besonders die Eltern von gesunden 15-19-Jährigen die Mobilfunknutzung im Unterschied zu den Eltern von kranken Kindern zu überschätzen, was zu den paradoxen «schützenden» Effekten geführt hat. Fall-Kontroll-Studien können kleine Risiken aufgrund der methodischen Unzulänglichkeiten nicht robust nachweisen. Substanzielle Hirntumorrisiken in dieser Altersklasse durch die Mobiltelefonnutzung müssten mittlerweile allerdings auch anhand von höheren Fallzahlen in Krebsregisterdaten erkennbar sein. In dieser Altersgruppe ist jedoch generell seit der Einführung von Mobiltelefonen keine verstärkte Zunahme der Hirntumoren feststellbar. Insgesamt stützt die Studie Ergebnisse von anderen epidemiologischen Studien und Zeitreihenanalysen von Krebsregistern, dass die Strahlung von Mobiltelefonen bisher nicht zu einem substanziell erhöhten Risiko für Hirntumoren führt.</t>
  </si>
  <si>
    <t>Luo X, Huang X, Luo Z, Wang Z, He G, Tan Y, Zhang B, Zhou H, Li P, Shen T, Yu X, Yang X</t>
  </si>
  <si>
    <t>Electromagnetic field exposure-induced depression features could be alleviated by heat acclimation based on remodeling the gut microbiota</t>
  </si>
  <si>
    <t>Ecotoxicol Environ Saf</t>
  </si>
  <si>
    <t>2021 Nov 15;228:112980</t>
  </si>
  <si>
    <t>https://pubmed.ncbi.nlm.nih.gov/34794024/</t>
  </si>
  <si>
    <t>Castaño-Vinyals G, Sadetzki S, Vermeulen R, Momoli F, Kundi M, Merletti F, Maslanyj M, Calderon C, Wiart J, Lee AK, Taki M, Sim M, Armstrong B, Benke G, Schattner R, Hutter HP, Krewski D, Mohipp C, Ritvo P, Spinelli J, Lacour B, Remen T, Radon K, Weinmann T, Petridou ET, Moschovi M, Pourtsidis A, Oikonomou K, Kanavidis P, Bouka E, Dikshit R, Nagrani R, Chetrit A, Bruchim R, Maule M, Migliore E, Filippini G, Miligi L, Mattioli S, Kojimahara N, Yamaguchi N, Ha M, Choi K, Kromhout H, Goedhart G, 't Mannetje A, Eng A, Langer CE, Alguacil J, Aragonés N, Morales-Suárez-Varela M, Badia F, Albert A, Carretero G, Cardis E</t>
  </si>
  <si>
    <t>Wireless phone use in childhood and adolescence and neuroepithelial brain tumours: Results from the international MOBI-Kids study</t>
  </si>
  <si>
    <t>2021 Dec 30;160:107069</t>
  </si>
  <si>
    <t>https://pubmed.ncbi.nlm.nih.gov/34974237/</t>
  </si>
  <si>
    <t>Hirnaktivität im Wachzustand und GSM-Exposition</t>
  </si>
  <si>
    <t>In den meisten bisherigen Studien zu HF-EMF-Exposition und Gehirnaktivität war die spontane Alpha-Aktivität verändert. Es wurden sowohl Zunahmen wie auch Abnahmen der Alpha-Aktivität berichtet. Zur Heterogenität der Ergebnisse trägt bei, dass es auch Studien ohne Effekte gibt. Ursachen für diese Heterogenität können vielfältig sein: z.B. Unterschiede in der Methodik, in den Versuchsprotokollen, in den angewendeten Frequenzen und Intensitäten, sowie im untersuchten Kollektiv. 
Wallace et al. (2021a,b) untersuchten 32 junge und gesunde Studienteilnehmende (rechtshändig, 17 Frauen). Diese wurden einem HF-EMF (GSM, 900 MHz, 217 Hz Modulation, 0.49 W/kg max. SAR (gemittelt über 10g Körpergewebe)) oder einer Scheinexposition für 25.5 Minuten ausgesetzt. Ein Mobiltelefon (aktiv oder sham) wurde mit einer Schlauchbinde am linken Ohr platziert (doppelblind, randomisiert, counter-balanced, crossover). Das Messprotokoll bestand aus einer Baseline-, Expositions-, und Nachexpositionsphase. Das Elektroenzephalogramm (EEG) und das Elektrokardiogramm (EKG) wurden durchgängig gemessen. In der Baseline- und Nachexpositionsphase wurde zusätzlich ein Magnetenzephalogramm (MEG) registriert. Das EEG erfasst die elektrische Komponente der Hirnaktivität und das MEG deren magnetische Komponente. Zusätzlich wurden vier Speichelproben genommen (am Anfang, vor und nach der Exposition, und am Schluss) um auf mögliche Stresseffekte zu testen.
In einer ersten Publikation (32 Teilnehmende analysiert; Wallace et al. 2021a) wurden das MEG und die Stressfaktoren analysiert. Im MEG wurde der Effekt der Exposition auf die Alpha-Aktivität (8-12 Hz) nach der Exposition untersucht. Die Ergebnisse im Sensor- und Quellen-Raum (Abschätzung woher in der Grosshirnrinde (Cortex) die Aktivität herrührt) zeigten eine signifikante Abnahme der MEG-Alpha-Aktivität nach der GSM-Exposition, mit unterschiedlichen beteiligten kortikalen Regionen je nachdem ob die Augen offen oder geschlossen waren, wahrscheinlich aufgrund des unterschiedlichen Aufmerksamkeitsniveaus bei offenen oder geschlossenen Augen. Die Messungen der Herzfrequenz, der Herzfrequenzvariabilität (HRV), der Biomarker für Stress und die Koffeinanalyse zeigten keine Veränderungen und bedeuten, dass die Ergebnisse kaum durch Störfaktoren wie Stressverhalten oder Koffeinkonsum vor dem Experiment beeinflusst wurden.
In einer zweiten Publikation (21 Teilnehmende analysiert, davon 10 Frauen, Wallace et al. 2021b) lag der Fokus auf dem EEG. EEG-Daten (Alpha-Aktivität) der Baseline- und Expositionsphase wurden analysiert. Alpha-Aktivität im Ruhezustand (Augen offen oder geschlossen) war während der GSM-Exposition im Vergleich zur Kontrolle nicht verändert.
Die beiden Arbeiten von Wallace et al. zeigten sowohl eine Abnahme als auch keinen Effekt. Allerdings ist zu beachten, dass die Abnahme im MEG nach der Exposition auftrat, und kein Effekt im EEG während der Exposition gefunden wurde. Warum das EEG nicht auch nach der Exposition analysiert wurde, ist unklar.</t>
  </si>
  <si>
    <t>Wallace J, Yahia-Cherif L, Gitton C, Hugueville L, Lemaréchal JD, Selmaoui B</t>
  </si>
  <si>
    <t>Modulation of magnetoencephalography alpha band activity by radiofrequency electromagnetic field depicted in sensor and source space</t>
  </si>
  <si>
    <t>2021 Dec 3;11(1):23403</t>
  </si>
  <si>
    <t>https://pubmed.ncbi.nlm.nih.gov/34862418/</t>
  </si>
  <si>
    <t>Human resting-state EEG and radiofrequency GSM mobile phone exposure: the impact of the individual alpha frequency</t>
  </si>
  <si>
    <t>Int J Radiat Biol</t>
  </si>
  <si>
    <t>2021 Dec 6:1-10</t>
  </si>
  <si>
    <t xml:space="preserve">2021 Apr;233:113712 </t>
  </si>
  <si>
    <t>https://pubmed.ncbi.nlm.nih.gov/34797205/</t>
  </si>
  <si>
    <t xml:space="preserve">Entstehung von Indikatoren für Tumorbildung durch HF-EMF-Exposition </t>
  </si>
  <si>
    <t>In der in vitro-Studie von Ding und Kollegen (2022) wurde in einem Zellkultur-Modellsystem der Frage nachgegangen, ob es Hinweise auf krebsauslösende Ereignisse durch kontinuierliche und langanhaltende HF-EMF-Exposition (1.8 GHz, 8 W/kg SAR, 4 Std/Tag) gibt. Die Autoren haben embryonale Fibroblasten von Mäusen (Balb/c-3T3 Zellen) für 40 oder 60 Tage exponiert und diese zusätzlich mit einer Tumorwachstum-fördernden Chemikalie (Tetradecanoylphorbol-Acetat - TPA) behandelt. Während sich in scheinexponierten Kontrollen keine Zellansammlungen ausgebildet haben, fanden die Autoren einige solche in HF-EMF-exponierten Kulturen. Dass es sich bei diesen Zellen mit verändertem Erscheinungsbild tatsächlich um krebsartige Veränderungen handelte, wurde dann mittels klassischer Tests (Migrationsverhalten, Kolonie- und Tumorbildung) sowie einer genomweiten Genaktivitätsanalyse gezeigt.
Die Autoren schliessen aus ihren Untersuchungen, dass eine hohe HF-EMF-Exposition potentiell krebsartige Zelltransformation auslösen kann, was sich mit den Beobachtungen aus Tierstudien zu Krebsbildung deckt (siehe Newsletter-Sonderausgabe November 2018). Allerdings ist die Übertragbarkeit und Aussagekraft dieser Zellkulturmodelle begrenzt. Weiterführende Studien sollten zusätzliche positive und negative Kontrollbedingungen sowie Dosis-Abhängigkeit und mögliche thermische Einflüsse einschliessen.</t>
  </si>
  <si>
    <t>Ding Z, Xiang X, Li J, Wu S</t>
  </si>
  <si>
    <t>Molecular Mechanism of Malignant Transformation of Balb/c-3T3 Cells Induced by Long-Term Exposure to 1800 MHz Radiofrequency Electromagnetic Radiation (RF-EMR)</t>
  </si>
  <si>
    <t>Bioengineering (Basel)</t>
  </si>
  <si>
    <t>2022 Jan 18;9(2):43</t>
  </si>
  <si>
    <t>https://pubmed.ncbi.nlm.nih.gov/35200397/</t>
  </si>
  <si>
    <t>Veränderungen der Anregbarkeit von Neuronen durch HF-EMF</t>
  </si>
  <si>
    <t>Anhand von elektrophysiologischen Untersuchungen wurde in der in vitro-Studie von Echchgadda et al. (2022) nach Hinweisen für kognitive Veränderungen bedingt durch HF-EMF-Exposition gesucht. Dazu haben die Autoren primäre Neuronen aus dem Hippocampus von Ratten isoliert und für 60 Minuten einem HF-EMF ausgesetzt (3 GHz, E-Feld: 137 V/m, durchschnittliche SAR: 0.3 W/kg, maximale SAR: 0.8 W/kg) und innerhalb 15-30 Minuten analysiert. Es wurde beobachtet, dass das herbeigeführte Aktivierungspotential der Neuronen durch das HF-EMF um 10% reduziert und die Potentialveränderung verlängert wurde. Weiterhin wurde gefunden, dass das Ruhepotential der Zellmembranen verringert war, und dass diese Depolarisation die Erregbarkeit der Neuronen förderte. Als Grund dafür gaben die Autoren eine erhöhte Kalziumkonzentration der Zellen an. Dies wirkte sich auch auf die präsynaptische Ausschüttung von stimulierenden und inhibierenden Neurotransmittern (Glutamat, GABA) aus und führte zu vermehrten spontanen Aktivierungen und veränderten Amplituden von post-synaptischen Neuronen. Diese Effekte konnten durch Blockierung von spannungsabhängigen Natriumkanälen neutralisiert werden.
Aus ihren Beobachtungen schlussfolgerten die Autoren, dass es zwar Hinweise für einen Einfluss des HF-EMF auf neuronale Aktivität gibt, deren Bedeutung für kognitive Veränderung aber weder ausgeschlossen noch bestätigt werden konnte. Dazu sind weitergehende Experimente zu Beständigkeit, Langzeiteffekten und Dosis-Wirksamkeit nötig. Diese solide durchgeführte Studie bietet somit einen guten Ausgangspunkt für weitere Untersuchungen in diese Richtung.</t>
  </si>
  <si>
    <t>Echchgadda I, Cantu JC, Tolstykh GP, Butterworth JW, Payne JA, Ibey BL</t>
  </si>
  <si>
    <t>Changes in the excitability of primary hippocampal neurons following exposure to 3.0 GHz radiofrequency electromagnetic fields</t>
  </si>
  <si>
    <t>2022 Mar 3;12(1):3506</t>
  </si>
  <si>
    <t>https://pubmed.ncbi.nlm.nih.gov/35241689/</t>
  </si>
  <si>
    <t>Exposition bei 1800 MHz nach entzündlichem Stimulus vermindert die Antwortstärke und erhöht den akustischen Schwellenwert für die Aktivität auditorischer Nervenzellen bei Ratten</t>
  </si>
  <si>
    <t>Die Mikroglia, die Immuneffektorzellen des Zentralnervensystems, beeinflusst nachweislich die Aktivität von Nervenzellen im Gehirn. Auswirkungen von HF-EMF-Exposition (LTE 1800 MHz, 0.5 W/kg SAR im Gehirn) auf die Morphologie der Mikroglia im Gehirn sowie auf Aktivität von Nervenzellen nach akustischen Stimuli wurden bei Ratten untersucht. Die Köpfe der Tiere wurden jeweils für 2 Stunden HF-EMF- oder scheinexponiert. Nach 3-6 Stunden wurde die neuronale Aktivität sowie die Morphologie der Mikroglia im auditorischen Kortex (Hirnareal) analysiert. Vorgängig an die HF-EMF-Exposition wurde in einer Gruppe eine entzündliche Reaktion im Bauchraum ausgelöst, was zu einer Aktivierung der Mikroglia führt und die Wirkungen viraler oder bakterieller Infektionen simuliert. Beide Gruppen wurden jeweils HF-EMF- oder scheinexponiert. Bei Tieren, die einen entzündlichen Stimulus erhielten und HF-EMF-exponiert wurden, war die Antwort (Aktivität der Nervenzellen) von reinen Tönen sowie natürlicher Vokalisation reduziert, was auch mit einem Anstieg der akustischen Schwelle für niedrige und mittlere Frequenzen (0.5-20 kHz) verbunden war. In der Gruppe ohne pro-entzündlichen Stimulus gab es keine Unterschiede zwischen HF-EMF- und scheinexponierten Tieren.
Die HF-EMF-Exposition ist jedoch mit Unsicherheiten behaftet, da bereits geringe Abweichungen in der Positionierung der Köpfe der Tiere zu einer Variation der Exposition führen können. Allerdings kann angenommen werden, dass die Variabilität in allen Gruppen ähnlich ist. Im Vergleich zu einer vorherigen Studie (GSM 1800 MHz) derselben Arbeitsgruppe, in der Ratten bei 1.55 W/kg HF-EMF- bzw. scheinexponiert wurden, wurden hier keine Unterschiede in der Morphologie der Mikroglia gefunden (Occelli et al. 2018) . In der Studie von 2018 wurde bei HF-EMF-exponierten Tieren eine verstärkte Verzweigung und Verlängerung der Fortsätze der Mikroglia beobachtet. Diese Befunde geben Hinweise auf einen dosisabhängigen Verlauf, wobei die Aktivität der Nervenzellen nach Entzündungsstimulus und HF-EMF-Exposition in beiden Studien verändert war, die Morphologie der Mikroglia aber nur bei der HF-EMF-Exposition bei einem SAR-Wert von 1.55 W/kg.</t>
  </si>
  <si>
    <t>Souffi S, Lameth J, Gaucher Q, Arnaud-Cormos D, Lévêque P, Edeline JM, Mallat M</t>
  </si>
  <si>
    <t>Exposure to 1800 MHz LTE electromagnetic fields under proinflammatory conditions decreases the response strength and increases the acoustic threshold of auditory cortical neurons</t>
  </si>
  <si>
    <t>2022 Mar 8;12(1):4063</t>
  </si>
  <si>
    <t>https://pubmed.ncbi.nlm.nih.gov/35260711/</t>
  </si>
  <si>
    <t>Mobiltelefonnutzung und Risiko von Hirntumoren: Update der UK Million Women Study</t>
  </si>
  <si>
    <t xml:space="preserve">Schüz et al. (2022) haben die Ergebnisse einer grossen laufenden prospektiven Kohortenstudie zum Hirntumorrisiko im Zusammenhang mit der Mobilfunknutzung aktualisiert. Zwischen 1996 und 2001 wurden in Grossbritannien 1.3 Millionen Frauen der Geburtsjahrgänge 1935-1950 für die Studie rekrutiert. Fragen zur Nutzung von Mobiltelefonen wurden im Jahr 2001 und erneut im Jahr 2011 gestellt. Es wurde jeweils gefragt seit wie vielen Jahren ein Mobiltelefon genutzt wurde und wie lange pro Tag. Bei der Erhebung im Jahr 2001 wurden die drei Kategorien «nie», «weniger als einmal pro Tag» und «täglich» erhoben. Bei der Erhebung im Jahr 2011 wurde nach der Anzahl Minuten pro Tag gefragt. Anhand der Daten des Krebsregisters wurde das Auftreten von gut- und bösartigen Tumoren im Schädelinnern identifiziert. Separate Analysen wurden für Gliome, Glioblastome, Akustikusneurinome, Meningeome und Hypophysen-Tumoren durchgeführt. Alle Analysen berücksichtigten den sozioökonomischen Status, Rauchen, Alkoholkonsum, Body-Mass-Index, Menopause-Hormontherapie und sportliche Aktivität. In der 14-jährigen Beobachtungsdauer wurden bei den rund 780.000 Frauen, die im Jahr 2001 einen Fragebogen zur Mobilfunknutzung ausgefüllt hatten, 3268 Hirntumorfälle registriert. Das Hirntumorrisiko war für Mobilfunknutzende im Vergleich zu Nicht-Nutzenden nicht erhöht (relatives Risiko: 0.97, 95% Konfidenzintervall: 0.90 bis 1.04) und auch nach 10-jähriger Mobiltelefonnutzung war kein erhöhtes Risiko erkennbar (relatives Risiko: 0.95, 95% Konfidenzintervall: 0.87 bis 1.05). Keiner der untersuchten Tumortypen war mit Mobilfunknutzung assoziiert. Tumore traten nicht häufiger an den stark exponierten Kopfregionen auf (Schläfe). Auch eine Analyse basierend auf den Daten von 430.000 Frauen, welche im Jahr 2011 Angaben zu ihrem Mobiltelefongebrauch machten, gab keine Hinweise auf ein erhöhtes Risiko. Die Autoren sehen ihre Ergebnisse im Einklang mit anderen epidemiologischen Studienergebnissen, die ebenfalls kein erhöhtes Risiko für Hirntumore bei typischer Mobilfunknutzung im Alltag fanden.
Die Stärke der Studie liegt im prospektiven Design, der relativ grossen Studienpopulation und der Berücksichtigung von möglichen Störgrössen (Confounder). Das Hauptziel der Studie war die Untersuchung der gesundheitlichen Auswirkungen von Hormonersatztherapie bei Frauen. Das erklärt die rudimentäre Abschätzung der Mobilfunknutzung, welche nur zwei Fragen umfasst und eine geringe zeitliche Auflösung hat. Damit sind Fehler in der Expositionszuschreibung unvermeidlich. Aufgrund der prospektiven Abschätzung sind diese Fehler aber nicht mit der Krankheit assoziiert und daher zufällig. Damit würde ein eventuell vorhandenes Risiko unterschätzt. Ohne Validierungsdaten zur Expositionsabschätzung ist es schwierig abzuschätzen, wie gross eine eventuelle Risikounterschätzung ist. Es ist zu erwarten, dass ein kleines Krebsrisiko verpasst werden würde, ein substanzielles Risiko aber nachweisbar wäre. Die Bedeutung sowie Stärken und Schwächen der Studie werden in einem unabhängigen Editorial diskutiert. </t>
  </si>
  <si>
    <t>Schüz J, Pirie K, Reeves GK, Floud S, Beral V; Million Women Study Collaborators</t>
  </si>
  <si>
    <t>Cellular Telephone Use and the Risk of Brain Tumors: Update of the UK Million Women Study</t>
  </si>
  <si>
    <t>J Natl Cancer Inst</t>
  </si>
  <si>
    <t>2022 Mar 29:djac042</t>
  </si>
  <si>
    <t>https://pubmed.ncbi.nlm.nih.gov/35350069/</t>
  </si>
  <si>
    <t>Keine Veränderung der Konnektivität in Netzwerken des Gehirns nach 4G-Exposition</t>
  </si>
  <si>
    <t>Siebzehn Teilnehmende (rechtshändig, 9 Männer, 8 Frauen) wurden während 30 Minuten einem 4G-Signal (LTE; 2.573 GHz; 1.22 W/kg max. SAR (gemittelt über 10g Körpergewebe) oder einer entsprechenden Kontrollbedingung (keine Exposition) ausgesetzt. Eine Dipolantenne wurde 1 cm vom rechten Ohr entfernt platziert. Mittels funktioneller Magnetresonanztomographie (fMRI) wurde der Einfluss der Strahlung auf die Netzwerkkonnektivität (statische und dynamische Verbindungen) im Gehirn untersucht. Vierzehn Netzwerke wurden identifiziert und untersucht. Die Exposition führte zu keinen signifikanten Veränderungen der Konnektivität. Es wurde eine extensive Dosimetrie durchgeführt, und die verwendete Signalcharakteristik ist gut dokumentiert. Die Autoren schlussfolgerten, dass die Kurzzeitexposition ungenügend war, um auf der Ebene der Hirnkonnektivität detektiert zu werden. Es ist allerdings fraglich, ob sich die Magnetresonanztomographie als Messmethode eignet, da während dem Scannen selbst starke HF-Felder appliziert werden, die die Expositionseffekte überdecken könnten.</t>
  </si>
  <si>
    <t>Yang L, Liu Q, Zhou Y, Wang X, Wu T, Chen Z</t>
  </si>
  <si>
    <t>No Alteration Between Intrinsic Connectivity Networks by a Pilot Study on Localized Exposure to the Fourth-Generation Wireless Communication Signals</t>
  </si>
  <si>
    <t>2022 Jan 13;9:734370</t>
  </si>
  <si>
    <t>https://pubmed.ncbi.nlm.nih.gov/35096727/</t>
  </si>
  <si>
    <t>Effet combiné de facteurs environnementaux : CEM-HF, acclimatation à la chaleur et effets sur l’anxiété et la dépression à la lumière de l’axe cerveau-intestin</t>
  </si>
  <si>
    <t>La flore intestinale exerce une influence sur l’homéostasie énergétique, le métabolisme, l’équilibre glycémique ou encore la réponse immunitaire. Elle joue toutefois un rôle encore plus crucial dans la préservation des fonctions physiologiques du cerveau. Elle influe sur le comportement, le développement cérébral, le vieillissement ainsi que l’apparition ou le développement de maladies neurodégénératives. Toute altération de la flore intestinale peut donc entraîner à son tour une altération de la microglie, autrement dit du système de défense du cerveau. 
Dans le cadre de l’étude sous-chronique in vivo de Luo et al. (2021), des souris mâles issues de la souche C57BL/6J ont été réparties en quatre groupes, avec et sans acclimatation à la chaleur (35 °C ou 28 °C) pendant les 28 premiers jours, suivis de 5 semaines d’exposition à un CEM-HF ou à une exposition fictive. L’expérience a porté sur l’interaction entre l’axe cerveau-intestin chez des souris soumises à l’influence de CEM-HF (2450 Mhz, 2 μs/impulsion, 500 impulsions/seconde, 4 heures/jour, TAS pour le corps entier de 2,5 W/kg) et l’acclimatation à la chaleur (35 °C au lieu de 28 °C). Des tests de comportement ont permis d’analyser des effets comme l’anxiété et la dépression. La flore intestinale a en outre été déterminée par séquençage, de même que des paramètres sériques comme le tryptophane et la phénylalanine, ainsi que le cholestérol et le fructose, lesquels avaient été mis en corrélation avec la dépression dans le cadre d’autres études.
Les tests de comportement n’ont révélé aucune influence sur le comportement anxieux aux deux instants de mesure, tandis que les sujets montraient davantage de signes de dépression après cinq semaines d’exposition au CEM-HF. Les activités génétiques de plusieurs bactéries ont par ailleurs varié, ce qui n’était pas le cas avec une acclimatation simultanée à la chaleur. L’amélioration de certains des paramètres sériques précités a également été constatée sous l’effet de l’acclimatation à la chaleur. Il est ressorti de l’analyse des voies de signalisation une interaction entre le métabolisme du tryptophane et la pyrimidine, ainsi qu’avec la synthèse organique des acides aminés. Les auteurs en déduisent que l’exposition au CEM-HF décrite précédemment entraîne des troubles neurologiques du comportement comparables à la dépression, troubles pouvant provenir d’un déséquilibre de la flore intestinale. Cette dernière joue en outre un rôle dans les effets de l’acclimatation à la chaleur. 
Un lien de causalité ne saurait être établi avec certitude sur la seule base des présents résultats malgré la détection de signes suggérant l’implication de l’axe cerveau-intestin dans la survenance accrue de symptômes dépressifs en lien avec la modification de la flore intestinale (qui ont pu être écartés au travers de l’acclimatation à la chaleur). Des essais supplémentaires sont nécessaires pour y parvenir. Comme le soulignent les auteurs, il s’agirait de déterminer les paramètres de mesure à plusieurs instants, mais surtout de procéder à l’inhibition des bactéries pertinentes à l’aide d’antibiotiques, et/ou à la transplantation fécale de cette flore intestinale.</t>
  </si>
  <si>
    <t>Risque de tumeur cérébrale chez les personnes âgées de 10 à 24 ans et utilisation de téléphones mobiles et sans fil</t>
  </si>
  <si>
    <t>Dans le cadre d’une étude cas-témoins (« MOBI-Kids ») de grande envergure, il a été examiné à l’aide de données issues de 14 pays  si l’utilisation de téléphones mobiles et sans fil ainsi que l’exposition aux CEM-HF et aux CEM-BF qui en découle pouvaient accroître le risque de développement de tumeurs cérébrales chez les jeunes (Castaño-Vinyals et al. 2022). Le groupe des participants était formé de 899 personnes âgées de 10 à 24 ans ayant reçu un diagnostic de tumeur cérébrale entre 2010 et 2015. L’étude comportait également 1910 cas-témoins du même âge, issus de la même région et ayant subi une appendicectomie au cours de la même période. Des données quant à l’utilisation de téléphones mobiles et sans fil ainsi que d’autres informations pertinentes ont été collectées auprès des sujets et/ou de leurs parents de manière rétroactive à l’occasion d’entretiens réalisés à partir d’un questionnaire. Un calcul de la dose de CEM a également été effectué. Les données ont été analysées pour trois tranches d’âge distinctes (de 10 à 14 ans, de 15 à 19 ans et de 20 à 24 ans) afin de tenir compte de l’utilisation en matière de téléphonie mobile propre à chaque tranche.
D’après les principales analyses, une utilisation accrue de téléphones mobiles et sans fil était corrélée à une baisse du risque de développement de tumeurs cérébrales, notamment pour la tranche d’âge des 15-19 ans. Bien que l’analyse ait été effectuée sur la base de la dose cumulée de CEM-HF et CEM-BF à l’emplacement de la tumeur plutôt que sur la base de l’utilisation, il en a également découlé des risques plus faibles dans le cas d’un degré d’exposition plus élevé. Des analyses plus poussées indiquent toutefois qu’aucun lien de causalité ne peut être établi avec cet effet « protecteur ». Cet effet n’était plus observé au travers des données statistiques lorsque les données d’utilisation relatives aux cinq ans précédant le diagnostic n’ont pas été prises en compte et que seules les données fournies par les participants à l’étude, et non celles de leurs parents, étaient retenues. En outre, aucun lien de cause à effet n’a pu être établi entre l’apparition de tumeurs cérébrales et l’utilisation de téléphones mobiles et sans fil. 
Les auteurs en déduisent que l’étude ne peut constituer un quelconque indice permettant de conclure à un lien de cause à effet entre l’utilisation de ces appareils et l’apparition de tumeurs cérébrales au sein de la tranche d’âge étudiée, bien que l’existence d’un risque, même moindre, ne puisse entièrement être écartée. L’observation d’un effet en apparence « protecteur » tiendrait d’une part à l’imprécision des données fournies par les parents, et d’autre part au fait que les symptômes avaient conduit à une utilisation moindre de téléphones mobiles et sans fil préalablement au diagnostic, et non l’inverse (causalité inversée).
L’étude MOBI-Kids, financée par des fonds publics des pays participants et de l’Union européenne, constitue à ce jour la plus vaste étude menée sur le sujet pour cette tranche d’âge. Cette publication présente d’autres points forts comme les nombreuses analyses de sensibilité ou encore l’inclusion de rayonnements à haute comme à basse fréquence. Les études cas-témoins reposent sur des informations recueillies de manière rétroactive à l’exposition ; ces informations ne sont pas exemptes d’incertitudes. Dans le cas présent, les parents des participants âgés de 15 à 19 ans en bonne santé semblent notamment surestimer l’utilisation de la téléphonie mobile contrairement aux parents d’enfants malades, ce qui a entraîné ce fameux effet « protecteur » paradoxal. Au vu de leur méthodologie lacunaire, les études cas-témoins ne sauraient démontrer avec certitude l’existence de faibles risques. Au sein de la tranche d’âge observée, des risques notables de développement de tumeurs cérébrales en lien avec l’utilisation du téléphone portable devraient toutefois pouvoir être identifiés dans l’intervalle grâce à un nombre de cas plus élevé dans les données des registres du cancer. Toutefois, d’une manière générale, aucune augmentation notable du développement de tumeurs cérébrales n’a été constatée au sein de cette tranche d’âge depuis l’apparition des téléphones mobiles. Dans l’ensemble, l’étude appuie les résultats d’autres études épidémiologiques ainsi que d’analyses de séries chronologiques des registres du cancer, lesdits résultats indiquant que le rayonnement des téléphones mobiles n’entraîne pour l’heure aucun accroissement notable du risque de développement de tumeurs cérébrales.</t>
  </si>
  <si>
    <t>Activité cérébrale au repos et exposition aux ondes GSM</t>
  </si>
  <si>
    <t>La plupart des études réalisées à ce jour sur l’exposition aux CEM-HF et sur l’activité cérébrale ont mis en lumière une activité alpha spontanée modifiée. Tant des augmentations que des baisses de cette activité ont été constatées. L’hétérogénéité des résultats est renforcée en partie par le fait que certaines études n’ont noté aucun effet particulier. Les facteurs pouvant être à l’origine de cette hétérogénéité sont nombreux. Il peut notamment s’agir de différences sur le plan méthodologique, au niveau des protocoles d’essai, des fréquences et intensités appliquées, ou encore du groupe observé. 
Wallace et al. (2021a, b) ont porté leur attention sur 32 jeunes participants en bonne santé (tous droitiers, 17 femmes). Les participants ont été exposés à un CEM-HF (GSM, 900 MHz, modulation de 217 Hz, TAS max. 0,49 W/kg [moyenne sur 10 g de tissu]) ou à une exposition fictive pendant 25,5 minutes. Un téléphone mobile a été placé au niveau de leur oreille gauche (étude randomisée, en double aveugle, en plan croisé compensé). Le protocole de mesure consistait en trois phases : phase de référence, phase d’exposition et phase de post-exposition. L’électroencéphalogramme (EEG) et l’électrocardiogramme (ECG) ont été mesurés tout au long des trois phases. Au cours de celles de référence et de post-exposition, un magnétoencéphalogramme (MEG) a également été enregistré. L’EEG a enregistré l’activité électrique du cerveau, tandis que le MEG a surveillé l’activité magnétique. Quatre échantillons salivaires ont en outre été collectés (au début, pendant et après l’exposition, puis à la fin) afin de réaliser des tests quant à d’éventuels effets sur le niveau de stress.
Le MEG ainsi que les facteurs de stress ont été analysés dans une première publication (32 participants observés ; Wallace et al. 2021a). Le MEG a servi à étudier l’effet de l’exposition sur l’activité alpha (8-12 Hz) après l’exposition. Les résultats relevés au niveau des capteurs et des sources localisées (estimation de l’origine de l’activité dans le cortex cérébral) ont montré une diminution notable de l’activité MEG alpha après l’exposition aux ondes GSM, ainsi que différentes régions corticales impliquées (yeux du sujet ouverts ou fermés), phénomène probablement dû à l’écart entre le niveau d’attention dans l’un et l’autre cas. Les mesures de la fréquence cardiaque, de la variabilité de la fréquence cardiaque (VFC), des biomarqueurs du stress ainsi que l’analyse du taux de caféine n’ont révélé aucun changement : autrement dit, les résultats n’ont guère été influencés par des facteurs perturbateurs comme la réaction à une source de stress ou la consommation de caféine en amont de l’expérience.
L’accent a été mis sur l’EEG avec l’analyse des données EEG (activité alpha) de la phase de référence et de la phase d’exposition dans une deuxième publication (21 participants, dont 10 femmes, Wallace et al. 2021b). L’activité alpha au repos (yeux ouverts ou fermés) n’a pas été modifiée pendant l’exposition aux ondes GSM par rapport à la valeur de contrôle.
Ces deux travaux de Wallace et al. ont montré aussi bien une diminution de l’effet que l’absence d’effet. Il convient toutefois de noter que la diminution de l’activité enregistrée au cours de la MEG s’est produite après l’exposition, et qu’aucun effet n’a été constaté au niveau de l’EEG pendant l’exposition. La raison pour laquelle l’EEG n’a pas été aussi analysé après l’exposition n’est pas claire.</t>
  </si>
  <si>
    <t>Apparition d’indicateurs de formation de tumeurs induite par une exposition à un CEM-HF</t>
  </si>
  <si>
    <t>Dans leur étude in vitro, Ding et al. (2022) ont utilisé un système modèle de culture cellulaire pour examiner si une exposition continue de longue durée à un CEM-HF (1,8 GHz, TAS : 8 W/kg, 4 heures/jour) peut entraîner des événements cancérogènes. Les auteurs ont exposé des fibroblastes embryonnaires de souris (cellules Balb/c-3T3) durant 40 ou 60 jours et les ont en plus traités avec une substance chimique qui favorise la croissance tumorale (TPA [12-O-tetradecanoylphorbol 13-actetate]). Alors qu’aucune agrégation de cellules ne s’est formée dans les cultures de contrôle soumises à une exposition fictive, les auteurs en ont trouvé quelques-unes dans les cultures exposées au CEM-HF. Une série de tests classiques (migration, formation de colonie et de tumeur) ainsi que l’analyse de l’activité des gènes dans l’ensemble du génome ont montré que les changements observés dans l’aspect des cellules exposées étaient effectivement des modifications cancéreuses.
Les auteurs concluent de leurs investigations qu’une exposition élevée à un CEM-HF peut potentiellement déclencher une transformation cellulaire cancéreuse, ce qui concorde avec les observations faites dans des études animales sur la cancérogenèse (voir Newsletter-Édition spéciale, novembre 2018). La transférabilité et la pertinence de ce genre de modèles de culture cellulaire sont cependant limitées. Des études plus approfondies devraient intégrer des conditions de contrôle positives et négatives supplémentaires ainsi que la dépendance de la dose et d’éventuelles influences thermiques.</t>
  </si>
  <si>
    <t>Modifications de l’excitabilité des neurones induites par un CEM-HF</t>
  </si>
  <si>
    <t>Dans leur étude in vitro, Echchgadda et al. (2022) investiguent au moyen d’examens électrophysiologiques si une exposition à un CEM-HF peut provoquer des modifications cognitives. À cet effet, les auteurs ont isolé des neurones primaires de l’hippocampe de rats et les ont exposés à un CEM-HF (3 GHz, champ électrique : 137 V/m, TAS moyen : 0,3 W/kg, TAS maximum : 0,8 W/kg) durant 60 minutes puis les ont analysés dans un délai de 15 à 30 minutes. Les auteurs ont observé que l’exposition au CEM-HF induit une réduction de 10 % du potentiel d’action des neurones et une prolongation de la modification du potentiel. Ils ont aussi constaté une diminution du potentiel de repos des membranes cellulaires et que cette dépolarisation favorisait l’excitabilité des neurones, ce qu’ils expliquent par une concentration plus élevée du calcium intracellulaire. Cela a aussi eu de l’effet sur la libération présynaptique de neurotransmetteurs excitateurs et inhibiteurs (glutamate, GABA) et a provoqué davantage d’activations spontanées et des modifications des amplitudes au niveau des neurones post-synaptiques. Ces effets ont pu être neutralisés par le blocage des canaux de sodium tensiodépendants.
Les auteurs ont conclu de leurs observations qu’il existe certes des indications d’une influence du CEM-HF sur l’activité neuronale, mais que leur importance pour une modification cognitive n’a pu être ni écartée ni confirmée. Pour cela, il faudra des expériences plus approfondies portant sur la durée des effets ou le temps dont a besoin la cellule pour se remettre, sur les effets à long terme et sur la relation dose-effet. Cette étude cohérente et bien conçue offre donc un bon point de départ pour d’autres études dans cette direction.</t>
  </si>
  <si>
    <t>Une exposition à 1800 MHz dans un état neuroinflammatoire diminue la force des réponses évoquées et augmente les seuils acoustiques pour l’activité neuronale dans le cortex auditif chez des rats</t>
  </si>
  <si>
    <t>Il est prouvé que la microglie, les cellules immunitaires du système nerveux central, exerce une influence sur l’activité neuronale dans le cerveau. L’étude a investigué les effets d’une exposition à un CEM-HF (LTE : 1800 MHz, TAS dans le cerveau : 0,5 W/kg) sur la morphologie de la microglie dans le cerveau et sur l’activité neuronale en réponse à des stimulus acoustiques chez le rat. Les têtes des animaux ont été exposées à un CEM-HF ou à une exposition fictive durant 2 heures. L’activité neuronale et la morphologie de la microglie dans le cortex auditif (aire cérébrale) ont été analysées 3 à 6 heures après l’exposition. Préalablement à l’exposition, un groupe de rats a reçu une substance inflammatoire (injection intrapéritonéale de lipopolysaccharide) qui génère une activation de la microglie et simule les effets d’une infection virale ou bactérienne. Les deux groupes ont été exposés à un CEM-HF ou soumis à une exposition fictive. Chez les rats soumis à une neuroinflammation exposés à un CEM-HF, la réponse (activité neuronale) aux tonalités pures et à la vocalisation naturelle était réduite, ce qui était aussi lié à une augmentation du seuil acoustique dans les basses et moyennes fréquences (0,5-20 kHz). Chez les rats sains, aucune différence n’a été observée entre les animaux exposés à un CEM-HF et ceux soumis à une exposition fictive.
L’exposition au CEM-HF est cependant entachée d’incertitude, puisque des changements minimes de la position de la tête de l’animal peuvent entraîner une variation de l’exposition. On peut cependant partir de l’hypothèse que la variabilité est la même dans tous les groupes. Aucune modification morphologique de la microglie n’a été observée, alors que cela avait été le cas dans une étude antérieure (GSM) menée par le même groupe de chercheurs, dans laquelle des rats ont été exposés à un CEM-HF (TAS : 1,55 W/kg) ou soumis à une exposition fictive (Occelli et al. 2018) . Dans l’étude de 2018, les chercheurs avaient observé une ramification accrue et une élongation des prolongements du corps cellulaire de la microglie. Ces résultats indiquent que les effets exercés dépendent de la dose ; alors que l’activité neuronale chez les rats soumis à une neuroinflammation et exposés à un CEM-HF s’est modifiée dans les deux études, la morphologie de la microglie n’a changé qu’après une exposition à un CEM-HF avec une valeur TAS de 1,55 W/kg.</t>
  </si>
  <si>
    <t>Utilisation de la téléphonie mobile et risque de tumeurs cérébrales : actualisation de l’étude UK Million Women Study</t>
  </si>
  <si>
    <t>Schüz et al. (2022) ont actualisé les résultats d’une vaste étude de cohorte prospective portant sur le risque de développement de tumeurs cérébrales en lien avec l’utilisation du téléphone mobile. Entre 1996 et 2001, 1,3 million de femmes nées entre 1935 et 1950 ont été recrutées pour l’étude menée en Grande-Bretagne. Les questions sur l’utilisation du téléphone portable ont été posées en 2001 puis à nouveau en 2011. Dans les deux cas, les participantes devaient indiquer depuis combien d’années elles utilisaient un téléphone portable et combien de temps elles l’utilisaient par jour. Lors de l’enquête de 2001, les participantes pouvaient choisir entre les réponses « jamais », « moins d’une fois par jour » et « quotidiennement ». Lors de l’enquête de 2011, elles devaient indiquer le nombre de minutes d’utilisation par jour. L’apparition de tumeurs bénignes et malignes dans le cerveau a été établie sur la base des données du registre du cancer. Des analyses séparées ont été menées pour les gliomes, les glioblastomes, les neurinomes de l’acoustique, les méningiomes et les tumeurs de l’hypophyse. Toutes les analyses prennent en compte le statut socioéconomique, la consommation de tabac et d’alcool, l’indice de masse corporelle, le traitement hormonal de la ménopause et l’activité sportive. Au cours des quatorze ans de suivi, 3268 cas de tumeur cérébrale ont été enregistrés dans le groupe de 780 000 femmes qui avaient rempli un questionnaire sur l’utilisation du téléphone mobile en 2001. Le risque de tumeur n’était pas plus élevé chez les femmes qui utilisaient un téléphone portable que chez celles qui n’en utilisaient pas (risque relatif : 0,97, intervalle de confiance à 95 % : 0,90 à 1,04) ; un risque plus élevé n’a pas non plus pu être établi après 10 ans d’utilisation du téléphone portable (risque relatif : 0,95, intervalle de confiance à 95 % : 0,87 à 1,05). Aucun type des tumeurs étudiées n’était associé avec une utilisation du téléphone portable. Les tumeurs n’apparaissaient pas plus souvent dans les régions de la tête fortement exposées (tempe). Une analyse basée sur les données des 430 000 femmes qui ont fourni en 2011 des indications sur leur usage du téléphone portable n’a pas non plus montré d’indices de risque plus élevé. Les auteurs estiment que leurs résultats concordent avec ceux d’autres études épidémiologiques qui n’ont pas non plus trouvé de risque de tumeurs cérébrales plus élevé en cas d’utilisation quotidienne normale du téléphone portable.
Les points forts de l’étude résident dans son protocole prospectif, dans la taille relativement importante de l’échantillon et dans la prise en compte d’éventuels facteurs de confusion (confounder). Le but principal de l’étude était d’investiguer les effets sanitaires du traitement hormonal de substitution chez les femmes, ce qui explique pourquoi l’utilisation du téléphone mobile n’a fait l’objet que d’une évaluation sommaire, avec seulement deux questions et une faible résolution temporelle. Dans une telle situation, il est inévitable que des erreurs surviennent lors de la classification des participantes à l’étude dans les différents groupes d’exposition. Comme il s’agit d’une estimation prospective, ces erreurs ne sont pas associées avec la maladie et sont donc aléatoires. Cela signifie qu’un risque éventuellement existant serait sous-estimé. Sans données de validation sur l’évaluation de l’exposition, il est difficile d’estimer l’importance d’une éventuelle sous-estimation du risque. Il est probable qu’un faible risque de cancer ne serait pas identifié, mais qu’un risque substantiel pourrait être prouvé. L’importance ainsi que les points forts et les points faibles de l’étude sont discutés dans un éditorial indépendant.</t>
  </si>
  <si>
    <t>Pas de modification de la connectivité dans les réseaux cérébraux après une exposition à un signal 4G</t>
  </si>
  <si>
    <t>Les 17 participants (tous droitiers, 9 hommes, 8 femmes) ont été exposés à un signal 4G (LTE, 2,573 GHz, pic de TAS : 1,22 W/kg [moyenne sur 10 g de tissu]) ou à une situation de contrôle (pas d’exposition) pendant 30 minutes. Une antenne dipôle a été placée à 1 cm de leur oreille droite. L’influence exercée par le rayonnement sur la connectivité des réseaux cérébraux (liaisons statiques et dynamiques) a été examinée au moyen de l’imagerie par résonance magnétique fonctionnelle (IRMf). L’étude portait sur 14 réseaux identifiés par les chercheurs. L’exposition n’a pas entraîné de modifications significatives de la connectivité. La dosimétrie a été effectuée de façon précise et complète et la caractéristique du signal utilisé est bien documentée. Les auteurs ont conclu que l’exposition à court terme était insuffisante pour être détectée sur le plan de la connectivité cérébrale. La question se pose cependant de savoir si l’imagerie par résonance magnétique est une méthode de mesure appropriée, puisque le scanner produit lui-même des champs à haute fréquence puissants qui pourraient masquer les effets de l’exposition.</t>
  </si>
  <si>
    <t>Combined effect of environmental exposures: RF-EMF, heat acclimation and effects on anxiety and depression considering the gut-brain axis</t>
  </si>
  <si>
    <t>The gut microbiota affects the energy homeostasis, metabolism, blood-glucose balance and immune response. It also plays an important role in maintaining physiological functions of the brain. The gut microbiota contributes to behaviour, brain development, ageing, and the development or characteristics of neurodegenerative diseases. A change of the gut microbiota, for example, can lead to alterations of the brain’s immune system, the microglia.
In the in vivo study by Luo et al. (2021), male mice (strain: C57BL/6J) were divided into four groups, with and without heat acclimation (35°C or 28°C) for the first 28 days followed by 5 weeks of subchronic RF-EMF exposure or sham exposure. In respect to the gut-brain axis of mice, the interaction between exposure to RF-EMF (2450 MHz, 2 μs/pulse, 500 pulses/second, 4 hours/day; whole-body SAR 2.5 W/kg) and heat acclimation (35°C instead of 28°C) was investigated. Behavioural tests were performed to assess anxiety and depression. In addition, the gut microbiota was determined by sequencing and serum parameters were analysed, i.e.: tryptophan and phenylalanine, and also cholesterol and fructose, which have been found to correlate with depression in other studies.
The behavioural tests did not indicate an impact on anxiety at any time point, while the animals showed increased signs of depression after five weeks of RF-EMF exposure. At the same time, the gene activities of various bacteria were altered. This was not the case with simultaneous heat acclimation, which also improved some of the serum parameters mentioned above. Pathway analysis of altered gene activities revealed an interaction with the tryptophan and pyrimidine metabolism and biosynthesis of amino acid. The authors concluded that the RF-EMF exposure leads to depression-like neurobehavioural disorders, possibly due to an imbalance of the gut microbiota. In addition, the data suggests that the gut microbiota is involved in heat acclimation.
Despite indications for an involvement of the gut-brain axis with regard to increased occurrence of depression in connection with changes in the gut microbiota (which could be reversed by heat acclimation), a causal relationship cannot be conclusively established on the basis of these findings; and thus, further studies are necessary. As the authors state, this would require a determination of the measurement parameters over time and, more importantly, inhibition of the relevant bacteria by means of antibiotics and/or fecal transplantation of specific gut microbiota.</t>
  </si>
  <si>
    <t>Brain tumour risk from age 10 to 24 years and use of mobile and cordless phones</t>
  </si>
  <si>
    <t>A large and elaborately designed case-control study ("MOBI-Kids") analysed data from 14 countries   to investigate whether the use of mobile and cordless phones and the resulting exposure to RF-EMF and ELF-MF increased the risk of brain tumours in young people (Castaño-Vinyals et al. 2022). The study population consisted of 899 persons aged 10 to 24 years who were diagnosed with a brain tumour between 2010 and 2015, and 1,910 control individuals of the same age and from the same region who had been operated for appendicitis at the corresponding time. Data on the use of mobile and cordless phones and other relevant factors were collected retrospectively by questionnaire interviews with the study participants and/or the parents. In addition, an EMF dose calculation was performed. Data were analysed separately for three age groups (10 to 14, 15-19 and 20 to 24 years) to account for age-related differences in mobile phone use.
According to the main analyses, an increase in the use of mobile and cordless phones correlated with a decrease in brain tumour risk, especially in the 15-19 year old group. Similarly, when the analysis was performed based on cumulative ELF-MF or RF-EMF dose at the tumour site, the results also showed decreasing risks with increasing dose. However, more detailed analyses indicate that this "protective" effect is likely not to be causal. When usage data within five years prior to diagnosis was not taken into account, and only information from the study participants, rather than from their parents, was considered, the "protective" effect was no longer statistically observable and there was no overall correlation between the occurrence of brain tumours and mobile and cordless phone use.
The authors conclude that the study does not provide evidence for a causal relationship between the use of mobile and cordless phones and the occurrence of brain tumours in the age group studied, even if a small residual risk cannot be completely excluded. The fact that apparently "protective" effects were observed was attributed, on the one hand, to inaccurate information on use provided by the parents and, on the other hand, to the fact that symptoms before diagnosis had led to reduced mobile and cordless phone use and not vice versa (reverse causality).
The MOBI-Kids study, relying on public funding from the participating countries and the EU, is the largest study conducted so far on the topic in this age group. Other strengths of the study are, for example, the fact that numerous sensitivity analyses were performed, and that both radiofrequency and extremely low frequency radiation were included. However, case-control studies are based on retrospectively collected information on exposure, which includes substantial uncertainties. Specifically, in this case, parents of healthy 15-19 year olds in particular seemed to overestimate mobile phone use in contrast to parents of sick children, which led to the paradoxical "protective" effects. Case-control studies cannot robustly detect small risks due to methodological shortcomings. Substantial brain tumour risks in this age group due to mobile phone use, however, should by now also be visible from higher case numbers in cancer registry data. In this age group, though, there has generally been no detectable increase in brain tumour risk since the introduction of mobile phones. Overall, the study supports results from other epidemiological studies and time series analyses of cancer registries that mobile phone radiation has so far not led to a substantially increased risk of brain tumours.</t>
  </si>
  <si>
    <t>Waking brain activity and GSM exposure</t>
  </si>
  <si>
    <t>Most studies on RF-EMF exposure and brain activity have found that spontaneous alpha activity was altered, and both increases and decreases have been reported. Some studies also found no effects. The reasons for this heterogeneity of findings can be manifold: e.g., differences in the methodology, in the experimental protocols, in the applied frequencies and intensities, as well as in the study population.
Wallace et al. (2021a,b) studied 32 young and healthy participants (right-handed, 17 women). The participants were exposed to an RF-EMF (GSM, 900 MHz, 217 Hz modulation, 0.49 W/kg max. SAR (averaged over 10 grams of body tissue)) or sham exposure for 25.5 minutes. A mobile phone (active or sham) was placed against the left ear with a tubular bandage (double-blind, randomised, counter-balanced, crossover). The measurement protocol comprised a baseline, exposure, and post-exposure period. The electroencephalogram (EEG) and the electrocardiogram (ECG) were measured continuously. Furthermore, a magnetoencephalogram (MEG) was recorded during the baseline and post-exposure phases. The EEG records the electrical component of brain activity and the MEG its magnetic component. In addition, four saliva samples were taken (at the beginning, before and after exposure, and at the end) to test for possible stress effects.
In a first publication (32 participants analysed; Wallace et al. 2021a), the MEG and stress factors were analysed. In the MEG, the effect of exposure on alpha activity (8-12 Hz) after exposure was investigated. The results in the sensor and source space (assessing where the activity originates in the cerebral cortex) showed a significant decrease in MEG alpha activity after GSM exposure, with different cortical regions involved depending on whether the eyes were open or closed, probably due to the different level of attention with eyes open or closed. Measurements of heart rate, heart rate variability (HRV), biomarkers of stress and caffeine concentration showed no changes, which means that the results were hardly influenced by confounding factors such as stress behaviour or caffeine consumption before the experiment.
In a second publication (21 participants analysed, 10 of them women, Wallace et al. 2021b), the focus was on the EEG. EEG data (alpha activity) of the baseline and exposure phase were analysed. Alpha activity in the resting state (eyes open or closed) was not changed during GSM exposure compared to the sham condition.
The two publications by Wallace et al. showed both a decrease and no effect. However, it should be noted that the decrease in the MEG occurred after exposure, and that no effect was found in the EEG during exposure. It remains unclear why the EEG was not also analysed after exposure.</t>
  </si>
  <si>
    <t>Indications for carcinogenic effects of RF-EMF exposure</t>
  </si>
  <si>
    <t>The in vitro study of Ding et al. (2022) aimed at investigating in a cell culture model whether there are indications for carcinogenic effects of continuous and long-term RF-EMF exposure (1.8 GHz, 8 W/kg SAR, 4 h/day). The authors exposed murine embryonic fibroblasts (Balb/c-3T3 cells) for 40 or 60 days, and treated them additionally with a cancer-promoting compound (tetradecanoylphorbol acetate - TPA). While the authors found no colony formation of cells in sham-exposed controls, they observed several colonies in RF-EMF-exposed cultures. Classic tests for cancerous cells (migration, colony and tumour formation) as well as analysis of genome-wide gene activity were used to confirm that the cells with such an altered appearance were indeed malignant transformations.
Based on their findings, the authors conclude that high levels of RF-EMF exposure can potentially induce cancerous cell transformation, which is in line with observations from animal studies on carcinogenesis (see newsletter - special issue November 2018). However, the transferability and informative value of such cell culture models is limited. Further studies should include additional positive and negative control conditions as well as the investigation of dose-response relationship and controls for potential thermal effects.</t>
  </si>
  <si>
    <t>Changed excitability of neurons after RF-EMF exposure</t>
  </si>
  <si>
    <t>In the in vitro study by Echchgadda et al. (2022), electrophysiological experimentations were used to investigate indicators for changes in cognitive function caused by RF-EMF exposure. For this purpose, the authors isolated primary rat hippocampal neurons and exposed them to RF-EMF for 60 minutes (3 GHz, E-field: 137 V/m, average SAR: 0.3 W/kg, maximum SAR: 0.8 W/kg). Analysis of the neurons was performed within 15-30 minutes of exposure. The authors observed that RF-EMF exposure reduced the amplitude of the induced action potential of the neurons by 10%, and prolonged the action potential peaks. Furthermore, the authors reported that the resting membrane potential of the cell was reduced and that this depolarization promoted neuronal excitability. According to the authors, this was due to increased calcium concentrations in the cells. This also affected the presynaptic release of excitatory and inhibitory neurotransmitters (glutamate, GABA), and led to increased spontaneous activations and altered amplitudes of postsynaptic neurons. Blocking voltage-gated sodium channels neutralized these effects. 
Based on their observations, the authors concluded that there are indications for an influence of RF-EMF on neuronal activity, albeit their relevance for cognitive changes could neither be ruled out nor confirmed. Further experiments in respect to effect persistence and recovery , long-term effects and dose-response relationship are required. This well conducted study thus provides a good entry point for further investigations in this field.</t>
  </si>
  <si>
    <t>Exposure to 1800 MHz RF-EMF under proinflammatory conditions decreases the response strength and increases the acoustic threshold of auditory cortical neurons in rats</t>
  </si>
  <si>
    <t>Microglia, the immune effector cells of the central nervous system, influences neuronal activity in the brain. Souffi et al. (2022) investigated the effects of RF-EMF exposure (LTE 1800 MHz, 0.5 W/kg brain SAR) on the microglia morphology in the rat brain and on neuronal cells activity after acoustic stimuli. The heads of the animals were RF-EMF- or sham-exposed for 2 hours. The neuronal activity as well as the microglia morphology in the auditory cortex (part of the brain) was analyzed 3-6 hours later. Preceding RF-EMF exposure, an inflammatory response was induced in one group (by intraperitoneal injection), which led to microglia activation, simulating the effects of viral or bacterial infections. Both groups were RF-EMF- or sham-exposed. In RF-EMF-exposed animals that received an inflammatory stimulus, the response (neuronal activity) to pure tones as well as natural vocalization was reduced, which was also associated with an increase in the acoustic threshold for low and medium frequencies (0.5-20 kHz). In the group without proinflammatory stimulus, no differences between RF-EMF- and sham-exposed animals were found.
However, the RF-EMF exposure is subject to some degree of uncertainty, as even small variations in the positioning of the animals' heads can lead to a variation in exposure. It is reasonable to assume, however, that the variability is similar in all groups. Compared to a previous study (GSM 1800 MHz) by the same research group, in which rats were RF-EMF- or sham-exposed at 1.55 W/kg (Occelli et al. 2018) , no differences in microglial morphology were found here. In the earlier study, increased branching and length of microglial protrusions was observed in RF-EMF-exposed animals. These findings indicate a dose-dependent response after an inflammatory stimulus with microglial morphology only being altered after RF-EMF exposure at a SAR of 1.55 W/kg, while RF-EMF exposure impacted neuronal activity in both studies.</t>
  </si>
  <si>
    <t>Mobile phone use and risk of brain tumors: update of the UK Million Women Study</t>
  </si>
  <si>
    <t>Schüz et al. (2022) provided an update on the results of a large ongoing prospective cohort study on brain tumor risk associated with mobile phone use. Between 1996 and 2001, 1.3 million women born 1935-1950 in the United Kingdom were recruited for the study. The participants were asked to fill questionnaires regarding mobile phone use in 2001 and again in 2011, inquiring about how many years a cell phone had been used and for how long per day. In the 2001 survey, the response options were "never," "less than once a day," and "every day", while the 2011 survey addressed the number of minutes per day. Cancer registry data were used to determine the incidence of benign and malignant tumors within the skull. Separate analyses were performed for gliomas, glioblastomas, acoustic neuromas, meningiomas, and pituitary tumors. All analyses were adjusted for socioeconomic status, smoking, alcohol intake, body mass index, menopausal hormone therapy, and strenuous exercise. During the 14-year observation period, 3268 brain tumor cases were registered among the approximately 780,000 women who had completed a questionnaire on mobile phone use in 2001. Brain tumor risk was not increased for mobile phone users compared to non-users (relative risk: 0.97, 95% confidence interval: 0.90 to 1.04), and also after 10 years of mobile phone use no increased risk was found (relative risk: 0.95, 95% confidence interval: 0.87 to 1.05). None of the tumor types in this study was associated with mobile phone use. Tumors did not occur more frequently in the strongly exposed head regions (temple). An analysis based on data from 430,000 women who provided information on their mobile phone use in 2011 did not indicate an increased risk either. The authors consider their findings to be in line with those of other epidemiological studies, which also found no increased risk of brain tumors associated with typical mobile phone use in everyday life.
Strengths of the study are the prospective study design, the relatively large study population, and the adjustment for potential confounders. The main aim of the study was to investigate health effects of hormone replacement therapy in women. This explains the rudimentary assessment of mobile phone use, which comprises only two questions and has a low temporal resolution. As a result, errors in exposure assessment are unavoidable. However, because of the prospective approach, these errors are not associated with the disease and are therefore random (non-differential). Any risk that might exist would thus be underestimated. Without any validation data on the exposure assessment, it is difficult to quantify the potential degree of underestimation. It is likely that a small cancer risk would have been missed, while a substantial risk should still be detectable. The relevance as well as strengths and weaknesses of the study have been discussed in an independent editorial.</t>
  </si>
  <si>
    <t>No changes in brain network connectivity after 4G exposure</t>
  </si>
  <si>
    <t>In this study, seventeen participants (right-handed, 9 males, 8 females) were exposed for 30 minutes to a 4G signal (LTE; 2.573 GHz; 1.22 W/kg peak SAR (averaged over 10 grams of tissue) or not exposed (control condition). A dipole antenna was placed 1 cm from the right ear. Functional magnetic resonance imaging (fMRI) was used to study the effect of radiation on network connectivity in the brain (static and dynamic connections). Fourteen networks were identified and analyzed. The exposure did not result in significant changes in connectivity. A comprehensive dosimetry was performed, and the applied signal characteristics were well documented. The authors concluded that short-term exposure was not sufficient to be detectable at the level of brain connectivity. However, it is questionable whether magnetic resonance imaging is a suitable measurement approach, since strong RF fields are applied during the scanning itself, which could mask the effects of the exposure.</t>
  </si>
  <si>
    <t>Mobilfunk; Schnurlostelefone, Unspezifisch</t>
  </si>
  <si>
    <t>Manser M, Sater MR, Schmid CD, Noreen F, Murbach M, Kuster N, Schuermann D, Schär P</t>
  </si>
  <si>
    <t>Kuzniar A, Laffeber C, Eppink B, Bezstarosti K, Dekkers D, Woelders H, Zwamborn AP, Demmers J, Lebbink JH, Kanaar R</t>
  </si>
  <si>
    <t>ELF-MF exposure affects the robustness of epigenetic programming during granulopoiesis</t>
  </si>
  <si>
    <t xml:space="preserve">2017 Feb 24;12(2):e0170762.
</t>
  </si>
  <si>
    <t>2017 Mar 7;7:43345.</t>
  </si>
  <si>
    <t>Semi-quantitative proteomics of mammalian cells upon short-term exposure to non-ionizing electromagnetic fields</t>
  </si>
  <si>
    <t>https://www.ncbi.nlm.nih.gov/pubmed/28234898</t>
  </si>
  <si>
    <t>https://www.ncbi.nlm.nih.gov/pubmed/28266526</t>
  </si>
  <si>
    <t>Beitrag umfasst noch weitere Studien zu Cryptochrome</t>
  </si>
  <si>
    <t>Eintrag war vorher mit anderer Studie kombiniert (Kuzniar), jetzt eigener Eintrag für beide</t>
  </si>
  <si>
    <t>Eintrag hatte ursprünglich gefehlt</t>
  </si>
  <si>
    <t>Kognitive Funktionen; Andere</t>
  </si>
  <si>
    <t>Haut; Andere</t>
  </si>
  <si>
    <t>Verhalten; Andere</t>
  </si>
  <si>
    <t>Darmflora</t>
  </si>
  <si>
    <t>Mobilfunk; Schnurlostelefone</t>
  </si>
  <si>
    <t>nur Frauen</t>
  </si>
  <si>
    <t>Netzwerkkonnektivität im Gehirn</t>
  </si>
  <si>
    <t>2021 Sep 30:oemed-2021-107776</t>
  </si>
  <si>
    <t>Zusatzinfos</t>
  </si>
  <si>
    <t>Extremely low frequency magnetic field and breast cancer in men</t>
  </si>
  <si>
    <t>Zwischenfrequenzen (IF) [300 Hz – 100 kHz]</t>
  </si>
  <si>
    <t>Niederfrequent (NF) [1 Hz – 300 Hz]</t>
  </si>
  <si>
    <t>Hochfrequent (HF) [100 kHz – 6 GHz]</t>
  </si>
  <si>
    <t>Millimeterwellen [6 GHz – 300 GHz]</t>
  </si>
  <si>
    <t>Low frequency (LF) [1 Hz – 300 Hz]</t>
  </si>
  <si>
    <t>Intermediate frequency (IF) [300 Hz – 100 KHz]</t>
  </si>
  <si>
    <t>High frequency (HF) [100 KHz – 6 GHz]</t>
  </si>
  <si>
    <t>Millimeterwaves [6 GHz – 300 GHz]</t>
  </si>
  <si>
    <t>Basse fréquence (BF) [1 Hz – 300 Hz]</t>
  </si>
  <si>
    <t>Fréquence intermédiaire (IF) [300 Hz – 100 kHz]</t>
  </si>
  <si>
    <t>Hautes fréquences (HF) [100 KHz – 6 GHz]</t>
  </si>
  <si>
    <t>Ondes millimétriques [6 GHz – 300 GHz]</t>
  </si>
  <si>
    <t>Exposition | Dosimetrie</t>
  </si>
  <si>
    <t>Theorien | Hypothesen</t>
  </si>
  <si>
    <t>Theories | Hypotheses</t>
  </si>
  <si>
    <t>Metaanalyse | Übersichtsarbeit</t>
  </si>
  <si>
    <t>Exposure | Dosimetry</t>
  </si>
  <si>
    <t>Meta-analysis | Review</t>
  </si>
  <si>
    <t>Théories | Hypothèses</t>
  </si>
  <si>
    <t>Méta-analyse | Review</t>
  </si>
  <si>
    <t>Exposition | Dosimétrie</t>
  </si>
  <si>
    <t>Patienten- &amp; Registerdaten</t>
  </si>
  <si>
    <t>Patient &amp; registry data</t>
  </si>
  <si>
    <t>Données de patients &amp; registres</t>
  </si>
  <si>
    <t>Ratten | Mäuse</t>
  </si>
  <si>
    <t>Rats | Souris</t>
  </si>
  <si>
    <t>Rats | Mice</t>
  </si>
  <si>
    <t>WLAN | WiFi</t>
  </si>
  <si>
    <t>Wireless LAN | WiFi</t>
  </si>
  <si>
    <t>Reproduction &amp; Fertility</t>
  </si>
  <si>
    <t>Exposure &amp; Dosimetry</t>
  </si>
  <si>
    <t>Brain blood flow | Metabolism</t>
  </si>
  <si>
    <t>Gehirndurchblutung | Stoffwechsel</t>
  </si>
  <si>
    <t>Fortpflanzung | Fertilität</t>
  </si>
  <si>
    <t>Irrigation du cerveau | Métabolisme</t>
  </si>
  <si>
    <t>Reproduction | Fertilité</t>
  </si>
  <si>
    <t>Gen- &amp; Proteinexpression</t>
  </si>
  <si>
    <t>Gene &amp; protein expression</t>
  </si>
  <si>
    <t>Expression des gènes &amp; des protéines</t>
  </si>
  <si>
    <t>Genotoxizität | DNA-Schäden</t>
  </si>
  <si>
    <t>Genotoxicity | DNA damage</t>
  </si>
  <si>
    <t>Génotoxicité | Dommages à l'ADN</t>
  </si>
  <si>
    <t>Cardiovascular &amp; autonomic nervous system</t>
  </si>
  <si>
    <t>Tumore | Krebs</t>
  </si>
  <si>
    <t>Tumours | Cancer</t>
  </si>
  <si>
    <t>Tumeurs | Cancer</t>
  </si>
  <si>
    <t>Magnetorezeption | Cryptochrome</t>
  </si>
  <si>
    <t>Magnetoreception | cryptochromes</t>
  </si>
  <si>
    <t>Magnétorécéption | cryptochromes</t>
  </si>
  <si>
    <t>Seh- &amp; Hörstörungen</t>
  </si>
  <si>
    <t>Visual &amp; hearing disorders</t>
  </si>
  <si>
    <t>Atteintes de la vision &amp; de l'audition</t>
  </si>
  <si>
    <t>Fernseh- &amp; Radiosender</t>
  </si>
  <si>
    <t>Television &amp; radio stations</t>
  </si>
  <si>
    <t>Station de télévision &amp; radio</t>
  </si>
  <si>
    <t>Kinder | Jugendliche</t>
  </si>
  <si>
    <t>Children | Adolescent</t>
  </si>
  <si>
    <t>Enfants | Adolescents</t>
  </si>
  <si>
    <t>Herz-/Kreislaufsystem | autonomes Nervensystem</t>
  </si>
  <si>
    <t>Système cardiovasculaire | système nerveux autonome</t>
  </si>
  <si>
    <t>Experimentelle Tier- &amp; Zellstudie</t>
  </si>
  <si>
    <t>Experimental animal &amp; cell study</t>
  </si>
  <si>
    <t>Niederfrequent &amp; Statisch [0 Hz – 300 Hz]</t>
  </si>
  <si>
    <t>Hochfrequent &amp; Millimeterwellen [100 kHz – 300 GHz]</t>
  </si>
  <si>
    <t>Neurodegenerative Erkrankungen</t>
  </si>
  <si>
    <t>Oxidativer Stress | Reaktive Sauerstoffspezies</t>
  </si>
  <si>
    <t>Elektrische Gehirnaktivität</t>
  </si>
  <si>
    <t>Electrical brain activity</t>
  </si>
  <si>
    <t>Activité électrique du cerveau</t>
  </si>
  <si>
    <t>Maladies neurodégénératives</t>
  </si>
  <si>
    <t>Stress oxydatif | espèces réactives de l'oxygène</t>
  </si>
  <si>
    <t>Oxidative stress - reactive oxygen species</t>
  </si>
  <si>
    <t>Neurodegenerative diseases</t>
  </si>
  <si>
    <t>Niederfrequent &amp; Statisch [0 Hz – 300 Hz]; Hochfrequent &amp; Millimeterwellen [100 kHz – 300 GHz]</t>
  </si>
  <si>
    <t>Hochfrequent &amp; Millimeterwellen [100 kHz – 300 GHz]; Niederfrequent &amp; Statisch [0 Hz – 300 Hz]</t>
  </si>
  <si>
    <t>Tumore | Krebs; Biomarker</t>
  </si>
  <si>
    <t>Epidemiologische Studie; Exposition | Dosimetrie</t>
  </si>
  <si>
    <t>Tumore | Krebs; Kognitive Funktionen; Verhalten</t>
  </si>
  <si>
    <t>Haut;Tumore | Krebs</t>
  </si>
  <si>
    <t>Mobilfunk; Fernseh- &amp; Radiosender</t>
  </si>
  <si>
    <t>Fernseh- &amp; Radiosender; Mobilfunk; Radar; WLAN | WiFi</t>
  </si>
  <si>
    <t>Elektrische Geräte; Fernseh- &amp; Radiosender; Hochspannungsleitungen; Mobilfunk; Schnurlostelefone; WLAN | WiFi; Induktionskochherde</t>
  </si>
  <si>
    <t>Mobilfunk; Schnurlostelefone; WLAN | WiFi</t>
  </si>
  <si>
    <t>Mobilfunk; Schnurlostelefone; WLAN | WiFi; Elektrische Geräte; Andere</t>
  </si>
  <si>
    <t>Fernseh- &amp; Radiosender; Mobilfunk; Schnurlostelefone; WLAN | WiFi</t>
  </si>
  <si>
    <t>Mobilfunk; WLAN | WiFi; Andere</t>
  </si>
  <si>
    <t>Kinder | Jugendliche; Schwangere Frauen</t>
  </si>
  <si>
    <t>Beruflich Exponierte; Patienten- &amp; Registerdaten</t>
  </si>
  <si>
    <t>Niederfrequent (NF) [1 Hz – 300 Hz]; Hochfrequent (HF) [100 kHz – 6 GHz]</t>
  </si>
  <si>
    <t>Zwischenfrequenzen (IF) [300 Hz – 100 kHz]; Hochfrequent (HF) [100 kHz – 6 GHz]</t>
  </si>
  <si>
    <t>Niederfrequent (NF) [1 Hz – 300 Hz] oder Statisch; Hochfrequent (HF) [100 kHz – 6 GHz]</t>
  </si>
  <si>
    <t>Hochfrequent (HF) [100 kHz – 6 GHz]; Niederfrequent (NF) [1 Hz – 300 Hz] oder Statisch</t>
  </si>
  <si>
    <t>Statisch; Niederfrequent (NF) [1 Hz – 300 Hz]</t>
  </si>
  <si>
    <t>Hochfrequent (HF) [100 kHz – 6 GHz]; Millimeterwellen (6 GHz – 300 GHz]</t>
  </si>
  <si>
    <t>Statisch; Hochfrequent (HF) [100 kHz – 6 GHz]</t>
  </si>
  <si>
    <t>Hochfrequent (HF) [100 kHz – 6 GHz]; Niederfrequent (NF) [1 Hz – 300 Hz]</t>
  </si>
  <si>
    <t>Kinder | Jugendliche; Erwachsene (alle)</t>
  </si>
  <si>
    <t>Elektrische Gehirnaktivität; Schlaf; Kognitive Funktionen</t>
  </si>
  <si>
    <t>Elektrische Gehirnaktivität; Schlaf; Kognitive Funktionen; Unspezifische Symptome</t>
  </si>
  <si>
    <t>Elektrische Gehirnaktivität; Temperatur</t>
  </si>
  <si>
    <t>Schlaf; Elektrische Gehirnaktivität</t>
  </si>
  <si>
    <t>Schlaf; Kognitive Funktionen; Unspezifische Symptome; Elektrische Gehirnaktivität</t>
  </si>
  <si>
    <t>Erwachsene (alle); Ratten | Mäuse</t>
  </si>
  <si>
    <t>Biomarker; Genotoxizität | DNA-Schäden</t>
  </si>
  <si>
    <t>Verhalten; Magnetorezeption | Cryptochrome</t>
  </si>
  <si>
    <t>Immunsystem; Oxidativer Stress | Reaktive Sauerstoffspezies</t>
  </si>
  <si>
    <t>Genotoxizität | DNA-Schäden; Biomarker; Oxidativer Stress | Reaktive Sauerstoffspezies</t>
  </si>
  <si>
    <t xml:space="preserve">Biomarker; Genotoxizität | DNA-Schäden; Immunsystem; Oxidativer Stress | Reaktive Sauerstoffspezies </t>
  </si>
  <si>
    <t>Oxidativer Stress | Reaktive Sauerstoffspezies; Genotoxizität | DNA-Schäden</t>
  </si>
  <si>
    <t>Magnetorezeption | Cryptochrome; Oxidativer Stress | Reaktive Sauerstoffspezies</t>
  </si>
  <si>
    <t>Oxidativer Stress | Reaktive Sauerstoffspezies; Genotoxizität | DNA-Schäden; Kognitive Funktionen</t>
  </si>
  <si>
    <t>Biomarker; Oxidativer Stress | Reaktive Sauerstoffspezies; Immunsystem; Neurodegenerative Erkrankungen</t>
  </si>
  <si>
    <t>Biomarker; Neurodegenerative Erkrankungen</t>
  </si>
  <si>
    <t>Biomarker; Oxidativer Stress | Reaktive Sauerstoffspezies; Verhalten; Immunsystem; Neurodegenerative Erkrankungen</t>
  </si>
  <si>
    <t>Neurodegenerative Erkrankungen; Biomarker; Oxidativer Stress | Reaktive Sauerstoffspezies</t>
  </si>
  <si>
    <t xml:space="preserve">Biomarker; Fortpflanzung | Fertilität; Genotoxizität | DNA-Schäden; </t>
  </si>
  <si>
    <t>Fortpflanzung | Fertilität; Genotoxizität | DNA-Schäden; Oxidativer Stress | Reaktive Sauerstoffspezies</t>
  </si>
  <si>
    <t>Biomarker;Fortpflanzung | Fertilität</t>
  </si>
  <si>
    <t>Biomarker; Verhalten; Gehirndurchblutung | Stoffwechsel</t>
  </si>
  <si>
    <t>Unspezifische Symptome; Seh- &amp; Hörstörungen</t>
  </si>
  <si>
    <t>Haut; Exposition | Dosimetrie</t>
  </si>
  <si>
    <t>Biomarker; Gen- &amp; Proteinexpression; Oxidativer Stress | Reaktive Sauerstoffspezies</t>
  </si>
  <si>
    <t>Biomarker; Tumore | Krebs; Gen- &amp; Proteinexpression</t>
  </si>
  <si>
    <t>Gen- &amp; Proteinexpression; Genotoxizität | DNA-Schäden; Oxidativer Stress | Reaktive Sauerstoffspezies</t>
  </si>
  <si>
    <t>Gen- &amp; Proteinexpression; Genotoxizität | DNA-Schäden</t>
  </si>
  <si>
    <t>Zielgrösse: Vitalität von Zellkulturen; Entzündungsreaktion</t>
  </si>
  <si>
    <t>https://www.niehs.nih.gov/ntp-temp/tr596_508.pdf</t>
  </si>
  <si>
    <t>https://www.biorxiv.org/content/biorxiv/early/2018/02/01/055699.full.pdf</t>
  </si>
  <si>
    <t>https://www.ncbi.nlm.nih.gov/pubmed/29537695</t>
  </si>
  <si>
    <t>https://www.niehs.nih.gov/ntp-temp/tr595_508.pdf</t>
  </si>
  <si>
    <t>NTP</t>
  </si>
  <si>
    <t>Wyde ME, Horn TL, Capstick MH, Ladbury JM, Koepke G, Wilson PF, Kissling GE, Stout MD, Kuster N, Melnick RL, Gauger J, Bucher JR, McCormick DL</t>
  </si>
  <si>
    <t xml:space="preserve">Effect of cell phone radiofrequency radiation on body temperature in rodents: Pilot studies of the National Toxicology Program’s reverberation chamber exposure system. </t>
  </si>
  <si>
    <t>2018 Apr;39(3):190-199. Epub 2018 Mar 14.</t>
  </si>
  <si>
    <t xml:space="preserve">Report of Partial Findings from the National Toxicology Program Carcinogenesis Studies of Cell Phone Radiofrequency Radiation in Hsd: Sprague Dawley® SD rats (Whole Body Exposures). </t>
  </si>
  <si>
    <t>Draft 2 Feb 2018</t>
  </si>
  <si>
    <t>NTP TR 596. Released 1 Nov 2018.</t>
  </si>
  <si>
    <t>NTP TR 595. Released 1 Nov 2018.</t>
  </si>
  <si>
    <t>NTP technical report on the toxicology and carcinogenesis studies in B6C3F1/N mice exposed to whole-body radio frequency radiation at a frequency (1,900 MHz) and modulations (GSM and CDMA) used by cell phones.</t>
  </si>
  <si>
    <t>NTP technical report on the toxicology and carcinogenesis studies in Hsd:Sprague Dawley SD rats exposed to whole-body radio frequency radiation at a frequency (900 MHz) and modulations (GSM and CDMA) used by cell phones.</t>
  </si>
  <si>
    <t>National Toxicology Program (NTP), National Institutes of Health, Public Health Service, U.S. Department of Health and Human Sciences</t>
  </si>
  <si>
    <t>High frequency &amp; Millimeterwaves [100 KHz – 300 GHz]</t>
  </si>
  <si>
    <t>Kat_Studientyp</t>
  </si>
  <si>
    <t>Kat_Studientyp_detailliert</t>
  </si>
  <si>
    <t>Zeilenbeschriftungen</t>
  </si>
  <si>
    <t>(Leer)</t>
  </si>
  <si>
    <t>Gesamtergebnis</t>
  </si>
  <si>
    <t>Sitzung</t>
  </si>
  <si>
    <t>Jahr</t>
  </si>
  <si>
    <t>gescreent</t>
  </si>
  <si>
    <t>ausgewählt</t>
  </si>
  <si>
    <t>in Newsletter</t>
  </si>
  <si>
    <t>NL Nr</t>
  </si>
  <si>
    <t>Anmerkungen</t>
  </si>
  <si>
    <t>Andrianome 2016 wurde in NL 6 besprochen, aber erst in Liste zu NL 7 ausgewählt</t>
  </si>
  <si>
    <t>inkl. Wyde 2016</t>
  </si>
  <si>
    <t>inkl. Bewertung NTP-Studie (final results) in Sonderausgabe</t>
  </si>
  <si>
    <t>und zusätzlich eine Sonderausgabe mit Stellungnahme zu den neuen ICNIRP-Kriterien (Juli 2020)</t>
  </si>
  <si>
    <t>und zusätzlich eine Sonderausgabe zu ROS (Januar 2021)</t>
  </si>
  <si>
    <t>Eines der hier ausgewählten Papers (Frey 2021) war zu diesem Zeitpunkt nur Preprint. Wurde deshalb erst nach der richtigen Veröffentlichung im Herbst 2021 besprochen, und ist in in NL 28 enthalten. Zahlenmässig trotzdem hier eingerechnet (Sitzung 1/2020)</t>
  </si>
  <si>
    <r>
      <rPr>
        <sz val="9"/>
        <rFont val="Arial"/>
        <family val="2"/>
      </rPr>
      <t>i</t>
    </r>
    <r>
      <rPr>
        <sz val="9"/>
        <color theme="1"/>
        <rFont val="Arial"/>
        <family val="2"/>
      </rPr>
      <t>nkl. Bewertung Frey 2021 (siehe Sitzung 01/2021)</t>
    </r>
  </si>
  <si>
    <t>NL 32 wird im März 2023 veröffentlicht</t>
  </si>
  <si>
    <t>NL 33 wird im Juni 2023 veröffentlicht</t>
  </si>
  <si>
    <t>Total:</t>
  </si>
  <si>
    <t>Stand 6. Dez. 2022</t>
  </si>
  <si>
    <t>NL 6</t>
  </si>
  <si>
    <t>NL 7</t>
  </si>
  <si>
    <t>Anz_Studien_identifiziert</t>
  </si>
  <si>
    <t>Anz_Studien_diskutiert</t>
  </si>
  <si>
    <t>Anz_Studien_ausgewählt</t>
  </si>
  <si>
    <t>NL 17</t>
  </si>
  <si>
    <t>NL 26</t>
  </si>
  <si>
    <t>NL 28</t>
  </si>
  <si>
    <t>NL 29</t>
  </si>
  <si>
    <t>Similar to the study of Özgün et al. (2019, see above), effects of EMF on neuronal differentiation were
also investigated by Niederhäusern et al. (2019), in this case with neuroblastoma cells. This study
focused on the impact of RF-EMF exposure (935 MHz, 4 W/kg, 217-Hz pulse modulated, 2 min on/2
min off, for 24 hours). In addition to signaling pathways involved in differentiation and
neurodegeneration, the authors investigated oxidative stress and its resulting potential effect on
cellular respiration. Impairments of mitochondrial functions have been described for
neurodegenerative diseases such as Alzheimer or Parkinson. RF-EMF had an effect on differentiation
in neuronal cells, and a trend (non-significant) towards increased activation of the proteins involved in
differentiation, namely ERK1/2 and Akt was observed. Proteins of the Wnt signaling pathway were not
regulated by RF-EMF. RF-EMF exposure had no effect on mitochondrial respiration under physiological
conditions. On the other hand, glucose deprivation leading to cellular stress impaired the maximum
cell respiration in RF-EMF-exposed cells. This effect was supported by the fact that RF-EMF caused
increased oxidative stress in the cell (measured via GSH concentration). Mitochondrial markers for
fusion and fission of mitochondria, which are responsible for the activity of these cell organelles, were
not affected by RF-EMF exposure. Under physiological conditions, only trends for an impairment of
neuronal differentiation were observed. However, stress, such as lack of glucose, led to oxidative stress
and impaired cell respiration in RF-EMF exposed cells.</t>
  </si>
  <si>
    <t>Radiofrequency electromagnetic fields and neuronal differentiation</t>
  </si>
  <si>
    <t>Champs électromagnétiques de haute fréquence et différenciation neuronale</t>
  </si>
  <si>
    <t>L’étude de Niederhäusern et al. (2019), comme déjà celle d’Özgün et al. (2019, voir ci-dessus), a traité
les effets des CEM sur la différenciation neuronale, et en l’occurrence sur celle des cellules de
neuroblastome. L’accent a été mis ici sur l’influence d’un CEM-HF (935 MHz, 4 W/kg, pulsé à 217 Hz,
pendant 24 heures avec des expositions de deux minutes alternant avec des pauses de même durée).
En plus des voies de signalisation cellulaires impliquées dans la différenciation et la
neurodégénérescence, le stress oxydatif et l’influence possible qui en résulte sur la respiration 
cellulaire ont également été étudiés. Des altérations des fonctions mitochondriales ont été décrites
pour des maladies neurodégénératives telles que la maladie d’Alzheimer ou de Parkinson. Les CEM-HF
ont eu une influence sur la différenciation dans les cellules neuronales, et une tendance à une
activation accrue des protéines ERK1/2 et Akt (impliquées dans la différenciation) a été observée (non
significative). La régulation des protéines de la voie de signalisation Wnt était indépendante des CEMHF.
L’exposition aux CEM-HF n’a eu aucun effet sur la respiration mitochondriale dans des conditions
physiologiques. Sous l’effet d’un stress induit par une privation de glucose dans le milieu de culture, la
respiration cellulaire maximale a été inhibée dans les cellules exposées au CEM-HF. Cet effet était
soutenu par le fait que les CEM-HF produisaient un stress oxydatif accru (mesuré par la concentration
de GSH) dans la cellule. Les marqueurs mitochondriaux pour la fusion et la fission des mitochondries,
qui sont responsables de l’activité de ces organelles cellulaires, n’ont pas été affectés par l’exposition
aux CEM-HF. Dans les conditions physiologiques, seules des tendances à une altération de la
différenciation neuronale ont été observées. Cependant, sous l’effet d’un stress tel qu’une carence en
glucose, les cellules exposées à des CEM-HF réagissaient par un stress oxydatif et une altération de la
respiration cellulaire.</t>
  </si>
  <si>
    <t>Aus ihrer Zusammenschau von 41 in vitro Studien folgern Mattsson &amp; Simko (2014), dass
niederfrequente Strahlung den oxidativen Zustand von Zellen beeinflussen kann, wozu auch die
Freisetzung freier Radikale gehört. Ab einer magnetischen Flussdichte von 1mT war dieser
Zusammenhang sogar weitgehend konsistent, trat aber teilweise auch bei schwächeren Expositionen
auf. Der Zusammenhang wurde dabei für eine relativ grosse Bandbreite von Zellarten festgestellt,
und war bemerkenswerterweise unabhängig von der Dauer der Exposition. Eine Relevanz für die
Gesundheit könnte dadurch gegeben sein, dass solche oxidativen Prozesse zu biologischen
Schädigungen wie zum Beispiel DNA-Veränderungen führen können. Methodisch gingen die Autoren
bei der Auswertung der Studien so vor, dass jeweils relevante biologische Eigenschaften und
Expositionsbedingungen verschiedener Studien in Gruppen zusammengefasst wurden. Die
Aussagekraft der Folgerung von Mattsson &amp; Simko wird jedoch durch den Umstand beträchtlich
abgeschwächt, dass bei vielen der ausgewerteten Studien die Experimente weder verblindet waren,
noch positive Kontrollen eingeschlossen wurden.</t>
  </si>
  <si>
    <t>Mattsson MO, Simko M</t>
  </si>
  <si>
    <t>2014; 2:132.</t>
  </si>
  <si>
    <t>http://journal.frontiersin.org/Journal/10.3389/fpubh.2014.00132/abstract</t>
  </si>
  <si>
    <t>Huss et al. (2014) untersuchen in der Schweizerischen Nationalen Kohortenstudie den
Zusammenhang zwischen Amyotropher Lateralsklerose (ALS) und beruflicher Exposition mit
Magnetfeldern und Stromschlägen. Dafür wurden Todeszertifikate und nationale Zensusdaten von
1990 und 2000 kombiniert. Bei Personen, die sowohl 1990 als auch 2000 beruflich gegenüber
Magnetfeldern exponiert waren, erhöhte sich das Risiko, zwischen 2000 und 2008 an ALS zu sterben,
um 55%. In dieser Bevölkerungsgruppe traten etwa 15 Fälle mehr auf als erwartet. Nicht erhöht war
das Risiko bei Personen, die nur 1990 oder nur im Jahr 2000 exponiert waren. Bisherige Studien
fanden erhöhte Risiken für Arbeiter in Elektro-Berufen, und es wurde ein Zusammenhang mit 
Stromschlägen vermutet (WHO 2007, Vergara et al. 2015). Die vorliegende Studie fand jedoch weder
für Elektriker noch in Bezug auf Stromschläge Hinweise für ein erhöhtes Risiko. Die Ergebnisse weisen
deshalb darauf hin, dass das Risiko, an ALS zu sterben, eher mit längerfristiger beruflicher
Magnetfeld-Exposition als mit Stromschlägen zusammenhängen könnte. Ein Schwachpunkt der
Studie ist, dass die korrekte Information hinsichtlich des Berufs in den Zensusdaten oft fehlte (z.B.
„Rentner“) und deshalb nur rund 20% der Bevölkerung in der Analyse berücksichtigt werden konnte.
Das Ziehen von Rückschlüssen wird auch dadurch erschwert, dass die Fallzahlen aufgrund des
seltenen Auftretens der Krankheit und der seltenen Expositionssituation gering sind. Die
Expositionsabschätzung hingegen ist gut gemacht. Ebenfalls positiv ist die Tatsache, dass objektive
Diagnosedaten von Todeszertifikaten verwendet wurden, die im Fall von ALS als verlässlich gelten.</t>
  </si>
  <si>
    <t>Huss A, Spoerri A, Egger M, Kromhout H, Vermeulen R; for the Swiss National Cohort</t>
  </si>
  <si>
    <t>Amyotroph Lateral Scler Frontotemporal Degener</t>
  </si>
  <si>
    <t>2014 Sep 17:1-6</t>
  </si>
  <si>
    <t>http://www.ncbi.nlm.nih.gov/pubmed/25229273</t>
  </si>
  <si>
    <t>In einer im Nordwesten von England durchgeführten Kohortenstudie wurde untersucht, ob die
Nachkommen von Müttern, die während der Schwangerschaft in der Nähe von
Hochspannungsfreileitungen oder Erdkabeln lebten, einem erhöhten Gesundheitsrisiko ausgesetzt
sind (De Vocht et al. 2014, De Vocht &amp; Lee 2014). Dabei wurden Daten von 140‘000 Einzelgeburten
aus den Jahren 2004 bis 2008 analysiert. Es zeigte sich, dass das Geburtsgewicht von Nachkommen
von Müttern, deren Wohnort bei Geburt näher als 50 Meter an einer solchen Quelle war, im
Durchschnitt statistisch signifikant um 125 Gramm reduziert war. In der Analyse wurden das Alter der
Mutter, die Geburtsreihenfolge, die Ethnie und der sozioökonomische Status berücksichtigt. Kein
Effekt wurde auf die Körpergrösse und das Risiko für Frühgeburten festgestellt. Zusammengefasst
könnten die Ergebnisse darauf hindeuten, dass das Wohnen in unmittelbarer Nähe von
Hochspannungsleitungen während einer Schwangerschaft zu suboptimalem Wachstum im
Mutterleib führen könnte. Die Aussagekraft dieser eigentlich grossen Studie ist jedoch beschränkt,
weil nur 89 Geburten bei Müttern aufgetreten sind, die 50 Meter oder weniger entfernt von
Hochspannungsleitungen lebten. Zudem war der genaue Wohnort nicht bekannt, sondern nur die
Postleitzahl, was in Grossbritannien einigen Häuserblöcken entspricht. Das führt zu erheblicher
Ungenauigkeit bei der Distanzabschätzung. Eine weitere Schwäche ist, dass rund 120‘000 Geburten,
die im Studienzeitraum aufgetreten sind, wegen fehlender Angaben nicht bei der Analyse
berücksichtigt werden konnten.</t>
  </si>
  <si>
    <t>De Vocht F, Hannam K, Baker P, Agius R</t>
  </si>
  <si>
    <t>35: 201–209</t>
  </si>
  <si>
    <t>http://onlinelibrary.wiley.com/doi/10.1002/bem.21840/abstract</t>
  </si>
  <si>
    <t>http://www.ncbi.nlm.nih.gov/pubmed/24815339</t>
  </si>
  <si>
    <t>2014; 69 : 51 – 57</t>
  </si>
  <si>
    <t>De Vocht F, Lee B</t>
  </si>
  <si>
    <t>In epidemiologischen Studien wurde ein konsistenter Zusammenhang zwischen vermehrtem
Auftreten von Kinderleukämien und der langfristigen Exposition gegenüber niederfrequenten
Magnetfeldern (z.B. Hochspannungsleitungen) beobachtet. Bei Expositionswerten von oberhalb etwa
0.4 μT wurde ein doppelt so hohes Erkrankungsrisiko gesehen. Experimentelle Studien konnten
bisher aber keinen biologischen Wirkungsmechanismus nachweisen. Deshalb ist unklar, ob der
Zusammenhang kausal ist. Grellier et al. (2014) berechnen anhand bereits vorhandener Daten zur
Magnetfeldexposition und zur Erkrankungshäufigkeit aus 27 Mitgliedsländern der Europäischen
Union (EU), wie viele zusätzliche Kinderleukämiefälle zu erwarten wären, wenn der epidemiologisch
beobachtete Zusammenhang zwischen niederfrequenten Magnetfeldern und Leukämie bei Kindern
tatsächlich kausal wäre. Sie nahmen einen Effekt ohne Schwellenwert an und kommen zum Schluss,
dass in der gesamten EU jährlich zwischen 50 und 61 Kindern aufgrund einer Exposition mit
niederfrequenten elektromagnetischen Feldern an Leukämie erkranken würden. Dies entspricht
etwa 1.5-2% der jährlich in der EU bei Kindern auftretenden Leukämiefälle. Bei dieser Studie handelt
es sich um eine gesundheitliche Folgenabschätzung (health impact assessment). Ein interessanter
Nebenbefund der Studie ist, dass befragte Experten sehr viel mehr Menschen für exponiert erachten,
als dies gemäss Messungen tatsächlich der Fall ist.</t>
  </si>
  <si>
    <t>Grellier J, Ravazzani P, Cardis E</t>
  </si>
  <si>
    <t>2014 Jan;62:55-63</t>
  </si>
  <si>
    <t>http://www.ncbi.nlm.nih.gov/pubmed/24161447</t>
  </si>
  <si>
    <t>Dieselbe hochfrequente Strahlung wie Chen et al. (2014) untersuchen auch Lu et al. (2014), allerdings
in Bezug auf neurodegenerative Krankheiten, bei einer spezifischen Absorptionsrate von 2 W/kg und
einer Dauer von 1 - 24 Stunden. Im Fokus dieser in vitro Studie steht die entzündungsfördernde
Zellantwort in zwei Typen von Hirnzellen der Maus (Mikroglia und Astrozyten). Diese Hirnzellen
gewährleisten die Funktionalität von Neuronen, sind zur Fremdkörperaufnahme fähig und an
immunologischen Vorgängen beteiligt. Die Autoren zeigen, dass die Exposition Mikroglia und
Astrozyten unterschiedlich aktiviert, und dass dies bei den neuronalen Immuneffektorzellen
(Mikroglia) über die STAT3-Signalkaskade geschieht. Die durch die hochfrequente Strahlung
ausgelöste Ausschüttung von Zellbotenstoffen und Produktion von zelltoxischen reaktiven Molekülen
könnte wie bei einer chronischen Entzündung langfristig zu einem Absterben von Zellen führen. Die
Aktivierung von STAT3 stellt ein interessantes Ergebnis dar. Bereits aus anderen Studien ist bekannt,
dass STAT3 ein signalvermittelndes Protein der Anti-Apoptose bei der Entstehung von Lymphomen,
Leukämie und anderen Krebserkrankungen ist (d.h. den programmierten Zelltod der Tumorzellen
verhindert) und Astrozyten-Reaktivität hervorruft. Weiterhin wurde gezeigt, dass der JAK-STAT3
Signalweg bei der Regulation von neurodegenerativen Erkrankungen beteiligt ist. Leider fehlen bei
dieser Studie Angaben zur Verblindung der Experimente. Für eine Abschätzung der
Gesundheitsrelevanz wäre zudem eine Evaluation der Dosis-Wirkungs-Beziehung wichtig. Beide
Studien weisen auf bislang nicht beobachtete Effekte hin. Es wäre wünschenswert, diese Studien
unabhängig zu replizieren.</t>
  </si>
  <si>
    <t>Chen C, Ma Q, Liu C, Deng P, Zhu G, Zhang L, He M, Lu Y, Duan W, Pei L, Li M, Yu Z, Zhou Z</t>
  </si>
  <si>
    <t>2014; 4 : 5103</t>
  </si>
  <si>
    <t>http://www.ncbi.nlm.nih.gov/pubmed/24869783</t>
  </si>
  <si>
    <t>Lu Y, He M, Zhang Y, Xu S, Zhang L, He Y, Chen C, Liu C, Pi H, Yu Z, Zhou Z</t>
  </si>
  <si>
    <t>2014; 9 (9): e108318</t>
  </si>
  <si>
    <t>http://www.ncbi.nlm.nih.gov/pubmed/25275372</t>
  </si>
  <si>
    <t>Chen et al. (2014) erläutern in ihrer in vitro Studie mit einem innovativen Ansatz die Auswirkungen
von hochfrequenter elektromagnetischer Strahlung (1800 MHz), wie sie beim Telefonieren im GSMMobilfunknetz
entstehen, auf embryonale neuronale Stammzellen. Die getestete Exposition hatte
dabei eine spezifische Absorptionsrate (SAR) von 1, 2 und 4 W/kg bei einer Dauer von 1-3 Tagen, in
denen das Signal in ständiger Wiederholung jeweils 5 Minuten an- und 10 Minuten abgeschaltet
wurde. Dabei wurden keine Effekte auf den programmierten Zelltod (Apoptose), die Zellvermehrung
(Proliferation), den Zellzyklus und das Differenzierungspotential der neuronalen Stammzellen
festgestellt. Ein stark eingeschränktes Auswachsen der Neuriten wurde jedoch bei hoher Exposition
(4 W/kg, 3 Tage, nicht aber bei 1 und 2 W/kg) beobachtet. Dies ist als Anhaltspunkt dafür zu werten,
dass die Ergebnisse für die Hirnentwicklung und kognitiven Fähigkeiten vor allem bei Kindern
relevant sein könnten. Die verwendeten SAR-Werte liegen im Bereich der ICNIRP1-Grenzwerte für
lokale Exposition. Als Schwäche der Studie ist die fehlende oder zumindest nicht beschriebene
Verblindung zu werten. Angaben zu möglichen anderen Einflussfaktoren fehlen. Anhand der
angegeben Messgenauigkeit lassen sich Einflüsse der Temperatur auf das Experiment nicht
ausschliessen.</t>
  </si>
  <si>
    <t>Baek et al. (2014) untersuchten den Einfluss von niederfrequenten magnetischen Feldern auf im
Bindegewebe vorkommende Zellen (Fibroblasten) der Maus in vitro. Bei einer durchgehenden
Exposition von 15-45 Tagen mit einem Feld von 50 Hz und einer Feldstärke von 1 mT wurde eine
wesentliche Stimulierung der Reprogrammierungs-Effizienz dieser Zellen beobachtet. Bei diesem
Prozess werden die ausdifferenzierten Zellen in einen stammzell-ähnlichen Zustand zurückversetzt. 
Interessanterweise konnten die Autoren auch zeigen, dass das Neutralisieren des Erdmagnetfeldes
einen gegenteiligen Einfluss auf diesen für die Stammzellforschung relevanten epigenetischen
Prozess hat. Dies deutet darauf hin, dass biologische Prozesse durch das Erdmagnetfeld beeinflusst
werden, und dass zusätzliche magnetische Wechselfelder diesen Einfluss stören können. In dem hier
beschriebenen Fall beschleunigt die Exposition die epigenetischen Veränderungen, die zum Erreichen
des Stammzellstadiums notwendig sind. Die Studie hebt sich auch dadurch hervor, dass mithilfe
aufwändiger Untersuchungen ein möglicher Mechanismus für diesen Effekt gefunden wurde. Dabei
wurde als zentrales Enzym die Histon-Methyltransferase MLL2 identifiziert, die auch mit Leukämieund
Hirntumor-Bildung im Zusammenhang steht. Diese Beobachtungen stellen einen neuen und
interessanten Ansatz dar. Relevant könnten die Beobachtungen für Keimzellen oder die frühe
Embryonalentwicklung sein, wozu zunächst aber weitergehende Untersuchungen bezüglich Einfluss
auf ähnliche Prozesse im Menschen (z.B. Bildung der Keimdrüsen) oder die generelle epigenetische
Regulation der Zellen erforderlich wären. Wünschenswert wären eine unabhängige Wiederholung
der Experimente mit optimierten Kontroll- und Expositionsbedingungen, und mehr Information über
eine mögliche Dosis-Wirkungsbeziehung sowie zeitliche Abhängigkeiten. Dazu wären weiterführende
Studien sinnvoll, um die Relevanz für die Gesundheit des Menschen bewerten zu können.</t>
  </si>
  <si>
    <t>Baek S, Quan X, Kim SC, Lengner C, Park JK, Kim J</t>
  </si>
  <si>
    <t>Electromagnetic Fields Mediate Efficient Cell Reprogramming into The Pluripotent State.</t>
  </si>
  <si>
    <t>ACS Nano</t>
  </si>
  <si>
    <t>Vol. 8, No, 10, 10125-10138.</t>
  </si>
  <si>
    <t>http://pubs.acs.org/doi/pdf/10.1021/nn502923s</t>
  </si>
  <si>
    <t>https://www.bafu.admin.ch/dam/bafu/de/dokumente/elektrosmog/fachinfo-daten/newsletter_berenisnr1-maerz2015.pdf.download.pdf/newsletter_berenisnr1-maerz2015.pdf</t>
  </si>
  <si>
    <t>https://www.bafu.admin.ch/dam/bafu/fr/dokumente/elektrosmog/fachinfo-daten/newsletter_berenisnr1-maerz2015.pdf.download.pdf/newsletter_berenisn1-mars2015.pdf</t>
  </si>
  <si>
    <t>https://www.bafu.admin.ch/dam/bafu/en/dokumente/elektrosmog/fachinfo-daten/newsletter_berenisnr1-maerz2015.pdf.download.pdf/newsletter_berenisnr1-march2015.pdf</t>
  </si>
  <si>
    <t xml:space="preserve">Baek et al. (2014) investigated in vitro the influence of extremely low frequency magnetic fields on 
cells of the connective tissue (fibroblasts) of mice. They continuously exposed them with a magnetic 
field of 50 Hz and 1 mT for 15-45 days, and observed a substantial stimulation of the reprogramming 
efficiency. This process causes the fully differentiated cells to return to a stem cell-like state. 
Interestingly enough, the authors also showed that the neutralisation of the earth’s magnetic field 
has a contrary effect on this epigenetic process relevant for stem cell research. This data indicates 
that biological processes are influenced by the geomagnetic field and that additional magnetic fields 
might be able to interfere with this natural interaction. In the case described here, the exposition to 
a magnetic field accelerated the epigenetic changes which are required for attaining the stem cell 
state. The study also stands out due to the fact that elaborated investigations led to the identification 
of a possible underlying mechanism. The enzyme histone lysine methyltransferase MLL2, which is 
also linked to the development of leukaemia and brain tumours, was found to play a central role in 
this process. These interesting observations linking magnetic fields with the regulation of epigenetic 
processes could be relevant for the development of gametes or early embryos. To assess the 
relevance for human health, however, further studies are required regarding the impact on similar 
processes in humans (e.g. development of gonads) or on epigenetic regulation of cells. It would also 
be desirable to independently replicate the findings with optimised control and exposure conditions 
and to obtain more information about a potential dose-response relationship and time 
dependencies. </t>
  </si>
  <si>
    <t xml:space="preserve">In the in vitro study by Chen et al. (2014), the authors were using an innovative approach to 
investigate the impact of a radiofrequency electromagnetic field of 1800 MHz, widely used in mobile 
communications, on embryonic neural stem cells. They exposed the neuronal stem cells with an 
intermittent (5 min field on, 10 min field off) GSM talk signal at specific absorption rates (SAR) of 1, 2 
and 4 W/kg for 1-3 days, and observed no effects on programmed cell death (apoptosis), cell 
proliferation, cell cycle progression and the differentiation potential. However, the authors reported 
an inhibition of neurites outgrowth at high (4 W/kg, 3 days) but not at lower (1 and 2 W/kg) SAR 
levels. As the applied SAR values are within the ICNIRP1
ambient regulatory limits for local exposure, 
these results might be relevant for brain development and cognitive abilities, especially with regard 
to exposure of children. A weakness of the study is the missing or at least not described experimental 
blinding, and the absence of statements about potential other influential factors. With regard to the 
stated measurement accuracy, temperature effects cannot be completely excluded. </t>
  </si>
  <si>
    <t>The effects of the same type of radiofrequency electromagnetic fields as in Chen et al. (2014) were 
also investigated by Lu et al. (2014), but in respect to neurodegenerative diseases. The focus of this 
in vitro study is the pro-inflammatory cell response in two types of brain cells of mice (microglia and 
astrocytes), exposed with a specific absorption rate of 2 W/kg for 1-24 hours. These brain cells 
warrant the functionality of neurons, are able to degrade dysfunctional cellular components 
(phagocytosis), and contribute to immunological processes. The authors showed that exposure 
activates differentially the pro-inflammatory response of microglia and astrocytes and that the STAT3 
signal cascade is involved in the activation of the neuronal immune effector cells (microglia). Similar 
to a chronic inflammation, the continuous release of cytokines induced by radiofrequency 
electromagnetic fields could lead to cell death in the long run. The activation of STAT3 signalling 
represents an interesting finding, as STAT3 is a signal-transmitting protein regulating the 
responsiveness of astrocytes and the anti-apoptotic pathway during the development of lymphoma, 
leukaemia and other cancer diseases (i.e. it inhibits programmed cell death of the tumour cells). 
Furthermore, it has been previously shown that the JAK-STAT3 signalling pathway is involved at the 
regulation of neurodegenerative diseases. Unfortunately, this study lacks any information about the 
blinding of the experiments. Moreover, an evaluation of the dose-response relationship would be 
important in order to assess the relevance to human health. In addition, it would be desirable to 
independently replicate these two studies as both reported cellular effects have previously not been 
observed.</t>
  </si>
  <si>
    <t>Numerous epidemiological studies have found a consistent correlation between increased incidence 
of childhood leukaemia and long-term exposure to extremely low frequency electromagnetic fields 
(e.g. high voltage power lines). Exposure levels above 0.4 µT were found to be linked to a twofold 
increase of morbidity risk. However, experimental studies so far could not establish an underlying
biological mechanism, and it thus remains unclear if the correlation is causal. Grellier et al. (2014) 
calculated the expected number of cases of childhood leukaemia attributable to extremely low 
frequency electromagnetic fields, based on the assumption that the epidemiologically observed 
correlation between extremely low frequency electromagnetic fields and childhood leukaemia was in 
fact causal. These calculations were made on the basis of data from 27 member states of the 
European Union (EU) related to exposure to magnetic fields and incidence rates. Under the
assumption of a linear effect without a threshold value, 50 to 61 childhood leukaemia cases in the 
entire EU are attributable to exposure to extremely low frequency electromagnetic fields. This 
corresponds to roughly 1.5-2% of childhood leukaemia cases occurring in the EU per year. 
Considering the number of exposed people, an interesting additional finding of this health impact 
assessment was that numbers estimated by interviewed experts were much higher compared to the 
measured numbers.</t>
  </si>
  <si>
    <t xml:space="preserve">A cohort study conducted in the northwest of England investigated whether the newborns of 
mothers living in close proximity to high voltage cables, overhead power lines, electricity substations 
or towers during pregnancy were exposed to an increased health risk (De Vocht et al. 2014, De Vocht 
&amp; Lee 2014). Data from 140’000 singleton live births in the period from 2004 to 2008 were analysed. 
It was found that the birth weight of children whose mothers were residing 50 meters or less from 
such extremely low frequency magnetic field sources at the time of birth was significantly decreased 
by 125 grams on average. Analyses were adjusted for maternal age, ethnicity, parity, and socio_x0002_economic status of the postal code area. No effect was found in relation to body size and risk of pre_x0002_term birth. Overall, the results might indicate that living in close proximity to high voltage cables 
during pregnancy could lead to suboptimal growth of the unborn child. However, these findings are 
based on only 89 births that occurred with mothers living in proximity of 50 meters or less to high 
voltage cables. This fact considerably weakens the generalisability of this relatively large study. In 
addition, the exact place of residence was not known, but determined on the basis of the post code, 
which encompasses several residential blocks. This leads to considerable inaccuracy with regard to 
exposure assessment. Another weakness of the study is that 120’000 births that occurred during the 
study period could not be considered in the analysis due to lacking information. </t>
  </si>
  <si>
    <t>In the Swiss National Cohort, Huss et al. (2014) addressed the association between amyotrophic 
lateral sclerosis (ALS) and occupational exposure to extremely low frequency magnetic fields and 
electric shocks. For this analysis, death certificates and nationwide census data from 1990 and 2000
were combined. Persons with occupational exposure to magnetic fields both in 1990 and 2000 had a 
55% higher risk of dying of ALS between 2000 and 2008 (hazard ratio of 1.55; 95% confidence 
interval: 1.11-2.15). This estimate is based on 15 more cases than expected. No increased risk was 
observed for persons that were exposed only in 1990 or in 2000. Previous studies have found an 
increased risk for persons working in an electrical occupation, and have suggested an association 
with electric shocks (WHO 2007, Vergara et al. 2015). However, Huss et al. (2014) could not establish 
an increased risk with regard to electrical occupations and electric shocks. The results thus suggest 
that longer duration occupational exposures to magnetic fields, rather than electric shocks, may be 
associated with the risk of dying from ALS. A weakness of this study is the lack of the correct job title 
in the census data (e.g. “pensioner”), resulting in only 20% of the population being included in the 
analysis. Furthermore, case numbers are very low, as both ALS and the specific exposure situation 
are relatively rare, which prevents from drawing firm conclusions. Positive aspects of the study are 
the well-made exposure assessment, and the fact that ALS as diagnose on death certificates can be 
regarded as reliable.</t>
  </si>
  <si>
    <t>Based on their review of 41 in vitro studies, Mattsson &amp; Simko (2014) conclude that extremely low 
frequency magnetic fields can influence the oxidative status of cells, including free radical release. 
With magnetic flux densities of 1 mT or above, this association was found to be consistent, but was 
sometimes also observed at lower flux densities. The association was found over a relatively broad 
range of cell types, remarkably being independent of exposure duration. Relevance for health might 
be given by the circumstance that such oxidative processes can lead to biological damage such as 
DNA modifications. Methodologically, the authors analysed the studies by grouping relevant 
biological properties and exposure conditions. A limitation in this field of research is the fact that 
many of the reviewed studies neither applied blinded protocols, nor included positive controls.</t>
  </si>
  <si>
    <t>Baek et al. (2014) ont examiné in vitro l’influence des champs magnétiques basse fréquence sur des 
cellules (fibroblastes) du tissu conjonctif des souris. Lors d’une exposition permanente de 15 à 45 jours 
à un champ de 50 Hz, avec une intensité de champ de 1mT, on a observé une stimulation importante 
de la capacité de reprogrammation de ces cellules. Lors de ce processus, les cellules différenciées sont 
ramenées à un stade analogue à celui de cellules souches. Chose intéressante, les auteurs ont 
également pu montrer que la neutralisation du champ magnétique terrestre exerçait un effet contraire 
sur ce processus épigénétique important dans la recherche sur les cellules souches. C’est une 
indication que le champ magnétique terrestre influence des processus biologiques et que des champs 
magnétiques alternatifs additionnels peuvent la perturber. Dans le cas présent, l’exposition accélère 
les modifications épigénétiques nécessaires pour atteindre le stade de cellules souches. Le caractère 
remarquable de l’étude tient aussi au fait que des examens sophistiqués ont permis de découvrir un 
mécanisme potentiel pour expliquer l’effet. En effet, l’histone méthyltransférase MLL2 a été identifiée 
comme élément central ; cet enzyme intervient également lors de l’apparition de leucémies et de 
tumeurs du cerveau. Ces observations constituent une approche nouvelle et intéressante. Elles 
pourraient être significatives pour les gamètes ou le développement embryonnaire précoce, ce qui 
supposerait toutefois que des études approfondies en ce qui concerne l’influence sur des processus 
analogues chez l’être humain (p. ex. formation des gonades) ou sur la régulation épigénétique générale 
des cellules soient entreprises. Il serait également souhaitable d’avoir des réplications indépendantes 
des expériences, avec des conditions de contrôle et d’exposition optimisées, et de disposer de plus 
d’informations concernant une possible relation dose-effet ainsi que la fonction du temps. De plus, il 
serait nécessaire d’avoir des études complémentaires afin de pouvoir évaluer la signification pour la 
santé de l’homme.</t>
  </si>
  <si>
    <t>Chen et al. (2014) ont étudié in vitro, d’une manière innovante, les effets du rayonnement 
électromagnétique haute fréquence (1800 MHz), analogues à ceux qui apparaissent en téléphonant 
dans le réseau GSM, sur des cellules souches neuronales embryonnaires. L’exposition considérée 
présentait un taux d’absorption spécifique (valeur TAS ; SAR en anglais) de 1, 2 et 4 W/kg pour une 
durée de 1 à 3 jours durant lesquels le signal était continuellement enclenché durant 5 minutes et 
déclenché durant 10 minutes. Aucun effet sur la mort cellulaire programmée (apoptose), la 
prolifération cellulaire, le cycle cellulaire et le potentiel de différenciation des cellules souches
neuronales n’a été constaté dans ces expériences. Une forte diminution de la croissance des neurites 
a toutefois été observée lors d’une exposition élevée (4 W/kg, 3 jours, mais pas avec 1 et 2 W/kg). Cela 
constitue un indice selon lequel les résultats pourraient être significatifs pour le développement 
cérébral et les capacités cognitives surtout chez l’enfant. Les valeurs TAS utilisées se situent au niveau 
des valeurs limites de l’ICNIRP1 pour l’exposition locale. Un point faible de l’étude est qu’elle n’a pas 
été effectuée en aveugle ou, du moins, qu’il en manque la description. Il n’y a pas d’indication 
concernant d’éventuels autres facteurs de confusion. Compte tenu de la précision de mesure indiquée, 
on ne peut exclure une influence de la température sur l’expérience.</t>
  </si>
  <si>
    <t xml:space="preserve">Lors d’études épidémiologiques, on a constaté une relation cohérente entre l’augmentation du 
nombre de cas de leucémie chez l’enfant et l’exposition sur le long terme à des champs magnétiques 
de basse fréquence (p. ex. lignes aériennes à haute tension). Lors d’expositions supérieures à des 
valeurs d’environ 0,4 µT, on a observé un risque d’apparition de la maladie deux fois plus élevé. Aucun 
mécanisme d’action biologique n’a toutefois pu être mis en évidence expérimentalement jusqu’ici. 
C’est pourquoi on ignore si la relation est causale. Grellier et al. (2014) ont calculé, sur la base des 
données issues de 27 pays membres de l’Union européenne (UE) relatives à l’exposition à des champs 
magnétiques et à la fréquence des maladies, le nombre de cas de leucémie supplémentaires qu’on 
devrait attendre chez l’enfant si la relation observée dans les études épidémiologiques entre les 
champs magnétiques de basse fréquence et la leucémie chez l’enfant était effectivement causale. Ils 
ont admis un effet sans valeur seuil et arrivent à la conclusion que, dans l’Union européenne, 50 à 61 
enfantsseraient nouvellement atteints de leucémie chaque année suite à une exposition à des champs 
électromagnétiques de basse fréquence. Dans l’UE, cela correspond à environ 1,5 à 2 % des cas annuels 
de leucémie chez l’enfant. Cette étude constitue en fait une évaluation d’impact sur la santé (health 
impact assessment). Elle a en outre produit un résultat secondaire intéressant : sur la base de mesures, 
le nombre de personnes exposées est en effet beaucoup moins important que ne l’ont supposé les 
experts consultés. </t>
  </si>
  <si>
    <t>Dans une étude de cohorte effectuée dans le nord-ouest de l’Angleterre, on a examiné si les enfants 
de mères ayant vécu à proximité de lignes aériennes à haute tension ou de câbles souterrains durant 
la grossesse étaient exposés à un risque plus élevé (De Vocht et al. 2014, De Vocht &amp; Lee 2014). On y 
a analysé les données relatives à 140 000 naissances (accouchements simples) des années 2004 à 2008. 
Il s’est avéré que le poids à la naissance des enfants de mères dont la résidence était située à une 
distance inférieure à 50 mètres d’une telle source était diminué de 125 grammes en moyenne 
(statistiquement significatif). Dans cette analyse ont été pris en compte l’âge de la mère, le rang de la 
naissance, l’ethnie et le statut socioéconomique. Aucun effet n’a été constaté sur la taille du corps et 
le risque de naissance précoce. En résumé, les résultats pourraient indiquer que le fait d’habiter à 
proximité immédiate de lignes aériennes à haute tension durant la grossesse pourrait amener à une 
croissance prénatale non optimale. La valeur de cette étude assez vaste est toutefois limitée, car seules 
89 naissances ont été relevées chez des mères ayant vécu à 50 mètres, ou à une distance inférieure, 
de lignes aériennes à haute tension. En outre, le lieu de résidence n’était connu que par le numéro 
postal ; or, en Grande-Bretagne, cela correspond à des îlots urbains. L’estimation de la distance est 
donc entachée d’une importante incertitude. Un autre point faible de l’étude réside dans le fait 
qu’environ 120 000 naissances, intervenues durant la période considérée, n’ont pas pu être prises en 
compte par l’analyse du fait de données manquantes.</t>
  </si>
  <si>
    <t xml:space="preserve">Dans l’Étude de cohorte nationale suisse, Huss et al. (2014) ont étudié la relation entre la sclérose 
latérale amyotrophique (SLA) et l’exposition, dans le cadre de l’activité professionnelle, à des champs 
magnétiques et des chocs électriques. À cet effet, les certificats de décès et les données des 
recensements de 1990 et de 2000 ont été combinés. Chez les personnes ayant été exposées à des 
champs magnétiques dans l’exercice de leur profession aussi bien en 1990 qu’en 2000, le risque de 
BERENIS – Groupe consultatif d’experts en matière de rayonnement non ionisant
Newsletter n° 1 / mars 2015
5
mourir de SLA entre 2000 et 2008 s’est accru de 55 %. Dans ce groupe de population sont apparus 
environ 15 cas de plus qu’escompté. Chez les personnes n’ayant été exposées qu’en 1990 ou qu’en 
2000, le risque n’était pas plus élevé. Des études antérieures avaient montré des risques plus élevés 
pour les personnes exerçant un métier dans le secteur électrique et on avait présumé une relation 
avec les chocs électriques (WHO 2007, Vergara et al. 2015). La présente étude n’a toutefois pas pu 
mettre en évidence un risque plus élevé pour les électriciens ou une relation avec des chocs 
électriques. C’est pourquoi les résultats semblent indiquer que le risque de mourir de SLA pourrait être 
en relation avec une exposition de longue durée à des champs magnétiques plutôt qu’à des chocs 
électriques. Un point faible de l’étude est constitué par le fait que les informations relatives à la 
profession étaient souvent incomplètes dans les données du recensement (p. ex. « retraités ») et que, 
de ce fait, seuls environ 20 % de la population ont pu être pris en compte dans l’analyse. Les 
conclusions sont également difficiles à tirer en raison du petit nombre de cas relevés, l’apparition de 
la maladie et les cas d’exposition étant rares. Par contre, l’estimation de l’exposition a été 
correctement effectuée. Autre point positif, les données diagnostiques objectives des certificats de 
décès utilisées sont considérées comme fiables dans le cas de SLA. </t>
  </si>
  <si>
    <t xml:space="preserve">De leur synopsis de 41 études in vitro, Mattsson &amp; Simko (2014) ont conclu que le rayonnement de 
basse fréquence peut influencer l’état oxydatif des cellules, génération de radicaux libres incluse. À 
partir d’une densité de flux magnétique de 1mT, cette relation a même été largement cohérente, mais 
apparaissait également en partie à des expositions plus faibles. La relation a été constatée pour un 
nombre relativement important de types de cellules et, chose remarquable, elle était indépendante 
de la durée de l’exposition. Le caractère significatif pour la santé pourrait résulter du fait que de tels 
processus oxydatifs peuvent conduire à des dommages biologiques comme des modifications d’ADN. 
Dans leur démarche, les auteurs ont groupé les propriétés biologiquement significatives et les 
conditions d’exposition des diverses études. La portée de la conclusion de Mattsson &amp; Simko est 
toutefois considérablement amoindrie par le fait que de nombreuses études évaluées n’avaient pas 
été conduites en aveugle et n’incluaient pas de contrôles positifs. </t>
  </si>
  <si>
    <t>Lu et al. (2014) ont étudié le même rayonnement haute fréquence que Chen et al. (2014), toutefois en 
ce qui concerne les maladies neurodégénératives, avec un taux d’absorption spécifique de 2 W/kg et 
une durée de 1 à 24 heures. Cette étude in vitro est focalisée sur la réponse cellulaire pro_x0002_inflammatoire dans deux types de cellules cérébrales de la souris (cellules microgliales et astrocytes). 
La sécrétion de médiateurs cellulaires et la production de molécules réactives cytotoxiques, induites 
par le rayonnement de haute fréquence, pourraient conduire à long terme à la mort de cellules comme 
dans une inflammation chronique. L’activation de STAT3 constitue un résultat intéressant. D’autres 
études avaient déjà montré que STAT3 était une protéine médiatrice du signal de l’anti-apoptose au 
cours de l’apparition de lymphomes, de leucémies et d’autres maladies cancéreuses (c’est-à-dire que 
la mort programmée des cellules de la tumeur est empêchée) et qu’elle provoquait la réactivité des 
astrocytes. Par ailleurs, il a été montré que la voie de signalisation JAK-STAT3 participe à la régulation 
de maladies neurodégénératives. Dans cette étude, il n’est malheureusement pas des indiqué si 
l’expérimentation a été faite en aveugle. Pour une estimation de la signification pour la santé, il serait 
par ailleurs important d’évaluer la relation dose-effet. Les deux études mettent en évidence des effets 
non observés jusqu’ici. Il serait souhaitable de répliquer ces études de manière indépendante.
Ces cellules cérébrales garantissent la fonctionnalité des neurones, sont capables d’absorber des corps 
étrangers et participent à des processus immunologiques. Les auteurs montrent que l’exposition 
n’active pas les cellules microgliales et les astrocytes de la même manière et que l’activation s’opère 
via la cascade de signalisation STAT3 chez les cellules effectrices immunitaires (cellules microgliales).</t>
  </si>
  <si>
    <t>Hochfrequent &amp; Millimeterwellen [100 kHz – 300 GHz]; Andere</t>
  </si>
  <si>
    <t>Hochfrequent &amp; Millimeterwellen [100 kHz – 300 GHz]; Niederfrequent &amp; Statisch [0 Hz – 300 Hz]; Andere</t>
  </si>
  <si>
    <t>Juli</t>
  </si>
  <si>
    <t>Neue ICNIRP Richtlinien für den Hochfrequenzbereich</t>
  </si>
  <si>
    <t xml:space="preserve">a) Herleitung der Richtwerte
Im März 2020 wurden die neuen Richtlinien der Internationalen Kommission zum Schutz vor nichtionisierender
Strahlung (International Commission on Non-Ionizing Radiation Protection, ICNIRP)
veröffentlicht (ICNIRP 2020). Diese beziehen sich auf den HF-EMF Frequenzbereich von 100 kHz bis
300 GHz, und ersetzen damit die entsprechenden Teile der Versionen von 19981 und 20102. Neben
den derzeit verwendeten 3G und 4G Mobilfunkfrequenzen, sowie beispielsweise DAB-Radio, WiFi und
Bluetooth, decken die überarbeiteten Richtlinien insbesondere auch den Frequenzbereich ab 6 GHz
ab, der in Zukunft wahrscheinlich intensiver für Mobilkommunikation genutzt wird. Gemäss ICNIRP
wurden die Richtlinien basierend auf Übersichtsberichten zum Thema, Evaluation von einzelnen
Studien, sowie wissenschaftlichen Workshops und einem umfangreichen öffentlichen
Konsultationsprozess entwickelt. Grenzwertwirksam sind aus Sicht der ICNIRP gesundheitliche
Wirkungen, welche wissenschaftlich konsistent nachgewiesen sind.
Die Identifikation der Gesundheitseffektschwelle hinsichtlich Effekten, die für den Menschen schädlich
sind, erfolgte aufgrund der vorhandenen relevanten Literatur zu thermischen und nicht-thermischen
Effekten auf biologische Systeme. Aus Sicht der ICNIRP erfüllen weiterhin nur thermische Effekte die
Kriterien einer ausreichenden Evidenz für Gesundheitsschädigung, weshalb die Grenzwerte aus dem
thermischen Wirkmodell abgeleitet wurden. Um der wissenschaftlichen Unsicherheit Rechnung zu
tragen, wurden bei der Bestimmung der Richtwerte zusätzliche Sicherheitsfaktoren verwendet. Für
Ganzkörperexpositionen, etwa von Mobilfunkbasisstationen, ist der vorgeschlagene Richtwert,
bezogen auf die spezifische Absorptionsrate (SAR), 50-mal kleiner als die von der ICNIRP
angenommene Schwelle für Auswirkungen auf die Gesundheit beim Menschen, und für lokale
Exposition durch am Körper betriebene Geräte wie zum Beispiel Mobiltelefone beträgt der
Sicherheitsfaktor 10. Für beruflich Exponierte gelten Sicherheitsfaktoren von 10
(Ganzkörperexposition) und 2 (lokale Exposition).
b) Vergleich der neuen mit den bisherigen Richtwerten
Die Ganzkörperbasisrestriktionen werden weiterhin als SAR ausgedrückt und sind im Vergleich zu den
älteren ICNIRP-Richtlinien unverändert: 0.4 W/kg für berufliche Exposition und 0.08 W/kg für die
allgemeine Bevölkerung. Das entspricht bei den Mobilfunkfrequenzen einer Feldstärke von 36 V/m
(700 MHz) bis 61 V/m (2 GHz). Ab 2 GHz ist die Leistungsflussdichte massgebend, die 10 W/m² nicht
überschreiten darf. Neu werden die Ganzkörperexpositionen aber nicht über 6 Minuten, sondern über
30 Minuten gemittelt. Der Grund hierfür ist, dass neue Daten zeigen, dass es bei Ganzkörperexposition
30 Minuten dauert, bis die Körperkerntemperatur entsprechend erhöht wird. Eine weitere Neuerung
ist, dass schwangere Frauen beruflich nicht höher exponiert sein dürfen als die Allgemeinbevölkerung,
damit der Fötus geschützt ist.
Für lokale Expositionen gilt weiterhin ein SAR-Wert pro 10 g Gewebe von 2 W/kg für den Kopf- und
Rumpfbereich und 4 W/kg für die Extremitäten, bzw. eine absorbierte Leistungsflussdichte von 20
W/m² bei Frequenzen oberhalb von 6 GHz (Mittelungszeit: 6 Minuten). Weiter gibt es für lokale
Expositionen spezifischere Vorgaben hinsichtlich kurzer Expositionszeiten von weniger als 6 Minuten
und hinsichtlich der Expositionen kleinflächiger Körperregionen von wenigen Quadratzentimetern
(Mittelungsfläche ist 4 cm² bei 6 GHz bis 30 GHz und 1 cm² darüber). Diese genaueren Spezifizierungen
sind im Hinblick auf die Nutzung von höheren Frequenzen (grösser als 6 GHz) wichtig, damit die
Bevölkerung ausreichend geschützt ist.
c) Stellungnahme BERENIS
• Grundsätzlich hat sich mit den neuen Richtwerten das Schutzniveau der Bevölkerung nicht
verändert. Die präziseren Richtlinien bei kurzzeitigen und kleinflächigen Expositionen oberhalb
von 6 GHz sollten in der Schweizer Gesetzgebung berücksichtigt werden, bevor solche Frequenzen
in Zukunft für den Mobilfunk genutzt werden.
• Auch wenn gemäss ICNIRP unterhalb der HF-EMF Immissionsgrenzwerte keine gesundheitlichen
Wirkungen nachgewiesen werden konnten, gibt es diesbezüglich noch einige Unsicherheiten. Es
gibt ausreichend Evidenz, dass HF-EMF Exposition des Gehirns im Bereich von 1-2 W/kg messbare
Einflüsse auf die elektrische Aktivität des Gehirns hat. In Zell- und Tierstudien finden sich auch
unterhalb der Grenzwerte relativ konsistente Einflüsse auf oxidativen Stress und auf zelluläre
Signalwege, wobei unklar ist, ob damit langfristige gesundheitliche Folgen verbunden sind. Die
epidemiologische Studienlage zu Langzeit-Ganzkörperexpositionen oberhalb von 1 V/m ist
unzureichend.
• Aufgrund dieser Unsicherheiten empfiehlt BERENIS weiterhin die konsequente Anwendung des
Vorsorgeprinzips. In der Schweiz ist das Vorsorgeprinzip für Immissionen von fest installierten
Sendeanlagen (z.B. Mobilfunkbasisstationen und Rundfunksender) mit dem Anlagegrenzwert der
Verordnung über den Schutz vor nichtionisierender Strahlung (NISV) konkretisiert. Die Strahlung
von mobilen Endgeräten (z.B. Mobiltelefon) untersteht nicht dem Vorsorgeprinzip des
Umweltschutzgesetzes. Die höchsten Expositionen von bis zu 2 W/kg entstehen bei der
körpernahen Nutzung von Mobil- und Schnurlostelefonen sowie allenfalls anderen körpernah
betriebenen Sendern. Bei diesen lokalen Expositionen ist auch der Sicherheitsfaktor bei den
ICNIRP-Richtwerten geringer als bei Ganzkörperexposition. Die Exposition sollte auch in diesen
Situationen minimiert werden.
• Im Hinblick auf die geplante zunehmende Nutzung des Frequenzbereichs oberhalb 6 GHz für die
mobile Kommunikation gibt es zum jetzigen Zeitpunkt nur wenige wissenschaftliche Studien.
Entsprechend schwierig ist es, Aussagen über mögliche Gesundheitseffekte in diesem
Frequenzbereich zu machen. Diese Frequenzen werden auf der Körperoberfläche absorbiert und
entsprechend stehen beim Menschen Auswirkungen auf die Haut und Augen im Vordergrund. Da
diese hohen Frequenzen von Insekten und anderen kleinen Tieren effektiver absorbiert werden
als die gegenwärtig benutzten Frequenzen3, sollte auch den ökologischen Auswirkungen vermehrt
Beachtung geschenkt werden. Diese Wissenslücken sollten durch Forschung reduziert werden,
um allfällige Auswirkungen auf die Gesundheit und die Umwelt besser beurteilen zu können.
</t>
  </si>
  <si>
    <t>ICNIRP International Commission on Non-Ionizing Radiation Protection</t>
  </si>
  <si>
    <t>Health Phys</t>
  </si>
  <si>
    <t>118(5):483-524.</t>
  </si>
  <si>
    <t>https://www.icnirp.org/cms/upload/publications/ICNIRPrfgdl2020.pdf</t>
  </si>
  <si>
    <t>Nouvelles directives ICNIRP dans le domaine des hautes fréquences</t>
  </si>
  <si>
    <t>a) Déduction des valeurs indicatives
Les nouvelles directives de l’ICNIRP ont été publiées en mars 2020 (ICNIRP 2020). Elles portent sur la 
gamme de fréquences de CEM-HF allant de 100 kHz à 300 GHz et remplacent les parties 
correspondantes des versions de 19981 et 20102
. Outre les fréquences de téléphonie mobile utilisées 
actuellement dans le cadre des technologies 3G et 4G ainsi que, par exemple, la radio DAB, le Wi-Fi et 
Bluetooth, les directives révisées couvrent en particulier aussi le domaine des fréquences à partir de 
6 GHz, qui sera probablement davantage utilisé à l’avenir pour la communication mobile. Selon 
l’ICNIRP, les directives ont été établies sur la base de revues de la littérature sur la question, de 
l’évaluation d’études, d’ateliers scientifiques et d’un vaste processus de consultation public. Selon 
l’ICNIRP, les valeurs limites doivent se baser sur des effets sanitaires qui sont prouvés scientifiquement 
de manière cohérente. 
Le seuil à partir duquel il existe des effets nocifs sur la santé humaine a été identifié sur la base de la 
littérature pertinente existante relative aux effets thermiques et non thermiques sur les systèmes 
biologiques. Selon l’ICNIRP, seuls les effets thermiques remplissent les critères d’une preuve 
scientifique suffisante d’un impact sur la santé, raison pour laquelle les valeurs limites ont été déduites 
du modèle de mécanisme d’action basé sur les effets thermiques. Pour tenir compte de l’incertitude 
scientifique, des facteurs de sécurité supplémentaires ont été pris en compte lors de la définition des 
valeurs indicatives. Pour l’exposition du corps entier, par exemple dans le cas des stations de base de 
téléphonie mobile, la valeur indicative en termes de taux d’absorption spécifique (TAS) est 50 fois plus 
basse que le seuil admis par l’ICNIRP à partir duquel il y a des effets sur la santé humaine ; pour 
l’exposition locale due aux appareils portés près du corps, par exemple les téléphones mobiles, le 
facteur de sécurité est de 10. Pour les personnes professionnellement exposées, les facteurs de 
sécurité sont de 10 (corps entier) et de 2 (exposition locale). 
b) Comparaison entre les nouvelles et les anciennes valeurs indicatives
Les restrictions de base relatives à l’exposition du corps entier restent exprimées en valeurs TAS et 
demeurent inchangées par rapport aux directives ICNIRP antérieures : 0,4 W/kg pour l’exposition 
professionnelle et 0,08 W/kg pour la population générale. Pour les fréquences de téléphonie mobile, 
cela correspond à une intensité de champ de 36 V/m (700 MHz) à 61 V/m (2 GHz). À partir de 2 GHz, 
la densité du flux de puissance est déterminante et ne peut dépasser 10 W/m². Les nouvelles directives 
indiquent que désormais, en ce qui concerne l’exposition du corps entier, la moyenne doit être calculée
sur 30 minutes, et non plus sur 6, du fait de nouvelles données indiquant qu’il faut 30 minutes pour 
que la température centrale du corps atteigne un nouvel état d’équilibre suite à une telle exposition.
Autre nouveauté : afin de protéger le fœtus, les femmes enceintes ne doivent pas, dans l’exercice de 
leur profession, être plus exposées que la population générale. 
Pour les expositions locales, une valeur TAS, par 10 g de tissu, de 2 W/kg continue à s’appliquer pour 
la tête et le tronc et de 4 W/kg pour les extrémités ; pour les fréquences supérieures à 6 GHz, une 
densité de flux de puissance absorbée de 20 W/m² s’applique (en prenant la moyenne sur 6 minutes). 
En ce qui concerne les expositions locales, des prescriptions plus spécifiques sont en outre fixées pour 
les temps d’exposition courts de moins de 6 minutes et l’exposition de petites régions corporelles de 
moins de quelques centimètres carrés (en prenant la moyenne sur 4 cm² entre 6 GHz et 30 GHz et sur
1 cm² au-delà). Ces spécifications plus précises sont importantes pour que la population soit 
suffisamment protégée dans le cas de l’utilisation de fréquences plus élevées (supérieures à 6 GHz).
c) Prise de position du groupe d’experts BERENIS
• Les nouvelles valeurs indicatives ne changent fondamentalement pas le niveau de protection de 
la population. Les directives plus précises pour les expositions de courte durée et l’exposition de 
petites surfaces à des fréquences supérieures à 6 GHz devraient être prises en compte dans la 
législation suisse avant que de telles fréquences ne soient utilisées à l’avenir pour la téléphonie 
mobile. 
• Même si, selon l’ICNIRP, des effets sanitaires n’ont pas pu être prouvés pour des valeurs
inférieures aux limites d’immission pour les CEM-HF, quelques incertitudes demeurent sur ce 
point. Il existe suffisamment de preuves scientifiques qui montrent que l’exposition du cerveau 
aux CEM-HF dans le domaine de 1-2 W/kg a des effets mesurables sur l’activité électrique 
cérébrale. Les études animales et les études cellulaires ont mis en évidence de façon relativement 
consistante des influences sur le stress oxydatif et les voies de signalisation cellulaires aussi en 
dessous des valeurs limites, mais il n’est toutefois pas certain qu’il y ait un lien avec des 
conséquences à long terme sur la santé. Les études épidémiologiques existantes sur les 
expositions du corps entier sur le long terme au-dessus de 1 V/m sont encore insuffisantes. 
• En raison de ces incertitudes, le groupe d’experts BERENIS recommande de continuer à appliquer 
systématiquement le principe de précaution. En Suisse, le principe de précaution pour les 
immissions des émetteurs fixes (p. ex. stations de base de téléphonie mobile et émetteurs de 
radiodiffusion) est concrétisé par la valeur limite de l’installation fixée dans l’ordonnance sur la 
protection contre le rayonnement non ionisant. Le rayonnement des appareils terminaux mobiles 
(p. ex. téléphone portable) n’est pas soumis au principe de précaution figurant dans la loi sur la 
protection de l’environnement. Les expositions les plus élevées, allant jusqu’à 2 W/kg, ont lieu
lorsque les téléphones portables, les téléphones sans fil ou encore d’autres émetteurs sont 
utilisés à proximité du corps. Dans le cadre de ces expositions locales, le facteur de sécurité des 
valeurs indicatives de l’ICNIRP est plus bas que pour l’exposition du corps entier. L’exposition 
devrait également être réduite le plus possible dans de telles situations. 
• En ce qui concerne l’utilisation accrue prévue du domaine de fréquences au-dessus de 6 GHz pour 
la communication mobile, il existe actuellement peu d’études scientifiques et il est donc difficile 
de se prononcer sur de possibles effets sanitaires dans cette gamme de fréquences. Chez l’être 
humain, ces fréquences sont absorbées par la surface du corps et les effets sur la peau et les yeux 
devraient donc en particulier être pris en compte. Comme ces hautes fréquences sont davantage
absorbées par les insectes et d’autres petits animaux que les fréquences utilisées actuellement3
, 
une plus grande attention doit être portée aux répercussions écologiques. Ces lacunes dans les 
connaissances doivent être réduites par la recherche afin de pouvoir mieux évaluer les éventuelles 
répercussions sur la santé et l’environnement.</t>
  </si>
  <si>
    <t>New ICNIRP guidelines for radiofrequency electromagnetic fields</t>
  </si>
  <si>
    <t>a) Derivation of the guidelines
In March 2020, the International Commission on Non-Ionizing Radiation Protection (ICNIRP) has 
published new guidelines (ICNIRP 2020). These guidelines cover the RF-EMF frequency range from 100 
kHz to 300 GHz, replacing the corresponding sections of the 19981 and 20102 versions. In addition to 
currently used frequencies for 3G and 4G mobile phone, Wi-Fi and Bluetooth communication as well 
as DAB, the revised guidelines also cover the frequency range above 6 GHz, which will probably be 
used more intensively for mobile communications in the future. According to ICNIRP, the guidelines 
were developed on the basis of review reports on the topic, evaluations of individual studies, scientific 
workshops and an extensive public consultation process. For the development of the guidelines, 
ICNIRP considers effects being “harmful to human health and scientifically substantiated”. 
The identification of the “adverse health effect threshold” was based on the relevant literature on 
thermal and non-thermal effects on biological systems. According to ICNIRP, only thermal effects meet 
the criteria for sufficient evidence of adverse health effects, and therefore, the threshold values were 
based on thermal mechanisms. In order to account for uncertainty, additional reduction factors were 
applied to determine the restriction values. For whole-body exposure of e.g. mobile phone base 
stations, the proposed restriction value for the specific absorption rate (SAR) is 50 times lower than 
the threshold for human health effects assumed by ICNIRP. For local exposure from devices used close 
to the body, such as mobile phones, the reduction factor is 10. For occupationally exposed individuals, 
the reduction factors are 10 and 2 for whole-body exposure and local exposure, respectively.
b) Comparison of the new and previous guidelines
The basic restrictions for whole-body exposure are still expressed as SAR and remain unchanged 
compared to the previous ICNIRP guidelines: 0.4 W/kg for occupational exposure and 0.08 W/kg for 
the general public. With regard to mobile communication frequencies, this corresponds to field 
strengths from 36 V/m (700 MHz) to 61 V/m (2 GHz). For frequencies of 2 GHz and above, the relevant 
measure is power flux density, which should not exceed 10 W/m². A modification in the new guidelines
is that whole-body exposure is averaged over 30 minutes instead of 6 minutes, because new data show 
that steady-state conditions for whole-body exposure are reached after 30 minutes. Another
modification is that occupational exposure of pregnant women should not exceed exposure of the 
general public to protect the foetus. 
For local exposure, the SAR per 10 g of tissue remains 2 W/kg for the head and torso and 4 W/kg for 
the limbs, or an absorbed power flux density of 20 W/m² at frequencies above 6 GHz (averaged over 6 
minutes). In addition, more detailed specifications are given for local exposure with regard to short 
exposure durations of less than 6 minutes, and with regard to exposure of small body regions of a few 
square centimetres (averaged over 4 cm² from 6 GHz to 30 GHz, and 1 cm² above 30 GHz). These more 
precise specifications are important for the use of higher frequencies (above 6 GHz) to adequately
protect the population.
c) Statement of BERENIS
• In principle, the new guidelines do not change the level of protection of the population. The more 
precise guidelines for short-term and small-area exposures above 6 GHz should be considered by 
Swiss legislation before such frequencies are used for mobile communication in the future.
• Although ICNIRP stated that there is no evidence for health effects below the RF-EMF exposure 
limit values, there are still some uncertainties in this respect. There is sufficient evidence that RF_x0002_EMF exposure of the brain in the range of 1-2 W/kg has measurable effects on the brain’s electrical 
activity. Furthermore, in cell and animal studies, relatively consistent effects on oxidative stress 
and on cellular signalling pathways have been found also below the limit values, while it is not 
clear whether these effects are associated with long-term health consequences. On the other 
hand, epidemiological research regarding long-term whole-body exposure above 1 V/m is
insufficient.
• In view of these uncertainties, BERENIS continues to recommend consequent application of the 
precautionary principle. In Switzerland, the precautionary principle for emissions from stationary 
transmitters (e.g. mobile phone base stations and radio transmitters) is specified by the 
“installation limit value” in the Ordinance on Protection against Non-Ionising Radiation (NISV). 
The radiation from mobile handsets (e.g. mobile phones) is not subject to the precautionary 
principle of the Swiss Environmental Protection Act. The highest exposures, up to 2 W/kg, result 
from the use of mobile and cordless phones near the body, and potentially other transmitters
operating close to the body. For these local exposures, the reduction factor given in the ICNIRP 
guidelines is lower compared to whole-body exposure. Exposure should also be minimized in 
these situations.
• Notably, only few scientific studies are available to date with regard to the planned 
implementation of frequency bands above 6 GHz for mobile communications. Therefore, 
evaluations and statements about potential health effects in this frequency range include a high 
degree of uncertainty. EMF in this frequency range are absorbed on the surface of the body, and 
therefore, human health effects on skin and eyes can be considered most relevant. As these high 
frequency EMF are absorbed more effectively than the current mobile phone frequency bands3
by insects and other small animals, ecological impacts should receive more attention. These 
knowledge gaps should be reduced by research to help evaluate possible effects on health and 
the environment.</t>
  </si>
  <si>
    <t>https://www.bafu.admin.ch/dam/bafu/en/dokumente/elektrosmog/fachinfo-daten/newsletter_berenis_sonderausgabe_juli_2020.pdf.download.pdf/Newsletter_BERENIS-Special_Issue_July_2020-ENGLISH.pdf</t>
  </si>
  <si>
    <t>https://www.bafu.admin.ch/dam/bafu/fr/dokumente/elektrosmog/fachinfo-daten/newsletter_berenis_sonderausgabe_juli_2020.pdf.download.pdf/Newsletter_BERENIS-Edition_sp%C3%A9ciale_Juillet_2020-FRANCAIS.pdf</t>
  </si>
  <si>
    <t>https://www.bafu.admin.ch/dam/bafu/de/dokumente/elektrosmog/fachinfo-daten/newsletter_berenis_sonderausgabe_juli_2020.pdf.download.pdf/Newsletter_BERENIS-Sonderausgabe_Juli_2020-DEUTSCH.pdf</t>
  </si>
  <si>
    <t>Hochfrequent (HF) [100 kHz – 6 GHz]; Millimeterwellen [6 GHz – 300 GHz]</t>
  </si>
  <si>
    <t>https://www.bafu.admin.ch/dam/bafu/de/dokumente/elektrosmog/fachinfo-daten/Newsletter%20BERENIS%20-%20Sonderausgabe%20November%202018.pdf.download.pdf/Newsletter%20BERENIS%20-%20Sonderausgabe%20November%202018%20-%20DEUTSCH.pdf</t>
  </si>
  <si>
    <t>S8</t>
  </si>
  <si>
    <t>https://www.bafu.admin.ch/dam/bafu/fr/dokumente/elektrosmog/fachinfo-daten/Newsletter%20BERENIS%20-%20Sonderausgabe%20November%202018.pdf.download.pdf/Newsletter_BERENIS_-_Edition_speciale_-_Novembre_2018_-_FRANCAIS.pdf</t>
  </si>
  <si>
    <t>https://www.bafu.admin.ch/dam/bafu/en/dokumente/elektrosmog/fachinfo-daten/Newsletter%20BERENIS%20-%20Sonderausgabe%20November%202018.pdf.download.pdf/Newsletter%20BERENIS%20-%20Special%20Issue%20November%202018%20-%20ENGLISH.pdf</t>
  </si>
  <si>
    <t>Anzahl_Studien_zusaetzlich</t>
  </si>
  <si>
    <t>Low frequency &amp; Static [0 Hz – 300 Hz]</t>
  </si>
  <si>
    <t xml:space="preserve">Basse fréquence &amp; Statique [1 Hz – 300 Hz] </t>
  </si>
  <si>
    <t>Hautes fréquences &amp; Ondes millimétriques [100 KHz – 300 GHz]</t>
  </si>
  <si>
    <t>Review</t>
  </si>
  <si>
    <t>Étude dosimétrique</t>
  </si>
  <si>
    <t>Étude expérimentale animale &amp; cellulaire</t>
  </si>
  <si>
    <t>Étude théorique des mécanismes</t>
  </si>
  <si>
    <t>Gibt es Hinweise auf vermehrten oxidativen Stress durch elektromagnetische Felder?</t>
  </si>
  <si>
    <t>Les champs électromagnétiques induisent-ils du stress oxydatif?</t>
  </si>
  <si>
    <t>Is there evidence for oxidative stress caused by electromagnetic fields?</t>
  </si>
  <si>
    <t>This special issue of the BERENIS newsletter contains an up-to-date assessment of a possible 
correlation between oxidative stress and exposure to magnetic and electromagnetic fields and their 
putative effects on health. For this purpose, relevant animal and cell studies published between 2010 
and 2020 were identified and summarized. An extended report presenting these recent studies in more 
detail is published by the FOEN. This special issue contains a short version of the report.</t>
  </si>
  <si>
    <t>Étude avec l'humain</t>
  </si>
  <si>
    <t>Revues de la littérature</t>
  </si>
  <si>
    <t>Etude expérimentale avec l'humain</t>
  </si>
  <si>
    <t>Study with humans</t>
  </si>
  <si>
    <t>Experimental study with humans</t>
  </si>
  <si>
    <t xml:space="preserve">Ergebnisse einer Studie auf zwei Studien aufgeteilt. Ich würde hier 4 Studien zählen. </t>
  </si>
  <si>
    <t>OK (mit Stefan besprochen)</t>
  </si>
  <si>
    <t>Noch klären ob anzahl Studien diskutiert stimmt</t>
  </si>
  <si>
    <t xml:space="preserve">Ein internationales Kollaborationsprojekt zu Krebsentstehung durch hochfrequente elektromagnetische Felder (Teil-Replikation der NTP-Rattenstudie): Vorstellung der Projektplanung </t>
  </si>
  <si>
    <t xml:space="preserve">Im Jahr 2019 wurde in Asien eine Teil-Replikationsstudie der NTP-Studie (siehe Newsletter-Sonderausgabe November 2018) gestartet, die Effekte von CDMA (900 MHz) HF-EMF auf die Krebsentstehung, insbesondere Gliome und Herz-Schwannome sowie Gentoxizität bei männlichen Ratten untersucht. Das Projekt läuft insgesamt fünf Jahre, und die Tierstudien werden in Japan sowie in Südkorea durchgeführt. Die Autoren betonen die Wichtigkeit der zur NTP-Studie identischen Exposition und Umweltbedingungen der Tiere. Das Expositionssystem wurde neu gebaut und ist somit nicht baugleich zu dem, welches in der NTP-Studie verwendet wurde. Die Anzahl Tiere beträgt jeweils 70 pro Expositionsgruppe (Scheinkontrolle, exponiert, Käfig-Kontrolle) und pro Land, in der NTP-Studie waren es 90 Tiere pro Gruppe. Bei der Dosimetrie wird das Gewicht der Tiere bzw. die Gewichtszunahme über den gesamten Studienverlauf berücksichtigt. Abweichungen in der Positionierung der Tiere sowie des Gewichtes beeinflussen die Exposition bzw. die SAR-Werte. Allerdings kann angenommen werden, dass die Variabilität in allen Gruppen (HF-EMF und scheinexponierte Tiere) in etwa gleich ist. Es wird nur ein Expositionslevel untersucht, nämlich 4 W/kg Ganzkörper-SAR, während in der NTP-Studie drei Expositionslevel (1.5, 3 und 6 W/kg SAR) eingesetzt wurden und somit eine Dosiswirkungsbeziehung betrachtet werden konnte. Der signifikante Anstieg von bösartigen Herz-Schwannomen sowie Gliomen im Hirn manifestierte sich in der NTP-Studie bei der höchsten Exposition von 6 W/kg (Ganzkörper-SAR), die in dieser Studie nicht untersucht wird. Die männlichen Ratten, die in der Studie verwendet werden, stammen von einem anderen Züchter. Das bedeutet, dass auch die Zuchtlinie, der Unterstamm ('substrain') und somit das Erbmaterial der Tiere nicht mit den in der NTP-Studie eingesetzten identisch sind. In der neuen Studie werden scheinexponierte Tiere als Kontrollen verwendet. Allerdings werden keine historischen Kontrollen hinzugezogen, da diese wahrscheinlich in den Laboratorien nicht vorhanden sind. Hier ist anzumerken, dass die Scheinkontrollen die relevanteren Kontrollen sind. Kommt es aber zu einem Anstieg der Tumorinzidenz von Tumoren mit generell geringem Auftreten, wie beispielsweise Herz-Schwannome, so sind historische Kontrollen von Vorteil, da diese eine Aussage erlauben, wie gross die Tumorinzidenz dieses Tumors über Jahre bei dem Rattenstamm in der Rattenlinie (Unterstamm) war. Konkret bedeutet das, dass bei einem Anstieg eines solchen Tumortyps die Bewertung, ob der Effekt durch die HF-EMF-Befeldung entstanden ist, schwierig ist.
Insgesamt gibt es also Unterschiede zwischen der NTP- und Replikations-Studie, wobei eine exakte Replikation solcher Tierexperimente auch praktisch fast nicht möglich ist. Einige wichtige Parameter werden eine vergleichende Bewertung der Ergebnisse der beiden Studien erschweren, insbesondere die Exposition bei 4 W/kg (Ganzkörper-SAR), die unterhalb der Expositionsstärke liegt, bei der in der NTP-Studie signifikante Effekte betreffend Herz-Schwannomen und Gliomen aufgetreten sind, aber auch das Fehlen einer Dosis-Wirkungs-Analyse, historischer Kontrollen sowie unterschiedliche Herkunft und genetische Disposition der Ratten. </t>
  </si>
  <si>
    <t xml:space="preserve">Der Einfluss von Millimeterwellen auf Genaktivität und die Sekundärstruktur der DNS </t>
  </si>
  <si>
    <t xml:space="preserve">Nicht-thermische Einflüsse von hochfrequenten EMF im Bereich von Millimeterwellen (MMW) auf biologische Systeme sind bis anhin noch spärlich untersucht. Diesbezüglich wurde in der in vitro-Studie von Lawler und Kollegen (2022) eine genomweite Expressionsanalyse in menschlichen primären Fibroblasten durchgeführt, um mögliche biologische Effekte eines 60 GHz HF-EMF zu identifizieren. Um thermische Einflüsse zu minimieren, wurde ein neu entwickeltes Expositionssystem basierend auf einem Strahlenbündel (Beam) verwendet, das kontinuierlich und etappenweise die Zellen exponierte. Die Leistung in Höhe von 2.6 mW/cm2 lag oberhalb der Grenzwerte (2 mW/cm2 für 6 Min. bzw. 1 mW/cm2 für 30 Min.), und es wurden während 4 Tagen tägliche Dosen von 46.8 J/cm2 in einem Zeitfenster von 5 Stunden verabreicht. 
Die Autoren stellten fest, dass die Aktivität (Genexpression) von circa 250 Genen nach der MMW-Exposition verändert war. Dabei unterschied sich die Zellreaktion nach Exposition deutlich von bekannten Expressionsveränderungen durch thermische und Zytokin-induzierte (TGFβ) Behandlungen und fiel auch weniger umfangreich aus. Neben der Zunahme der Kollagenproduktion und Bildung von extrazellulären Kollagenfasern, was durch weitergehende Untersuchungen mittels Immunfluoreszenz bestätigt wurde, fanden sich gehäuft Aktivitätsveränderungen von Genen, die eine Rolle in der Replikation und für die Struktur der DNS und des Chromatins spielen. Diese strukturellen Veränderungen sind ihrerseits dafür bekannt, dass sie die Expression beeinflussen und könnten deshalb als mögliche Ursache für die Effekte in Frage kommen. In der Tat zeigten die Autoren eine Reduktion von sekundären DNS-Strukturen (der Klasse G4 und iMotif) in exponierten Zellen, die auch in den Genen mit veränderter Aktivität zu finden sind. Allerdings wurde nur eine Korrelation beobachtet und der zugrundeliegende biologische Mechanismus ist unbekannt. Zudem wurden keine Hinweise auf eine Schädigung der DNS gefunden (Nachweis von DNS-Doppelstrangbrüchen mittels Immunfluoreszenz für γH2AX). 
Aufgrund der noch lückenhaften Datenlage zur Wirkung von MMW sind die Beobachtungen von Lawler et al. (2022) aus ihrem hypothesenfreien Ansatz schwierig einzuordnen, bieten aber hilfreiche Ansatzpunkte für weitergehende Untersuchungen. Zudem ist zu beachten, dass möglicherweise zusätzliche Stressfaktoren die Zellantwort moduliert haben. So wurde die Exposition unter unphysiologischen Bedingungen durchgeführt (reduzierter Anteil von Serum und ausserhalb des Brutschrankes), wodurch sich die normale Zellantwort verändern könnte.
</t>
  </si>
  <si>
    <t xml:space="preserve">Projet collaboratif international sur le développement de cancers en lien avec l’exposition à des champs électromagnétiques de haute fréquence (réplication partielle d’une étude du NTP sur les rats) : réflexions sur la préparation du projet </t>
  </si>
  <si>
    <t xml:space="preserve">En 2019, des pays asiatiques ont conjointement initié une réplication partielle d’une étude de l’U.S. National Toxicology Program (NTP) (voir l’édition spéciale de novembre 2018 de la Newsletter BERENIS) qui s’intéresse aux effets cancérogènes des champs électromagnétiques de haute fréquence (CEM-HF) CDMA  (900 MHz), en particulier aux gliomes et aux schwannomes cardiaques, ainsi qu’à la génotoxicité chez des rats mâles. Le projet s’étend sur cinq ans et les expériences sur animaux ont lieu au Japon et en Corée du Sud. Les auteurs soulignent l’importance d’utiliser la même exposition et les mêmes conditions environnementales pour les animaux que celles de l’étude NTP. Le système d’exposition a été revu : sa conception diffère ainsi de celle de l’étude NTP. La taille s’élève à 70 animaux par groupe d’exposition (exposition simulée, exposition, contrôle en cage) et par pays, alors que l’étude NTP comptait 90 animaux par groupe. La dosimétrie tient compte du poids des animaux ainsi que de leur prise de poids tout au long de l’étude. Les écarts dans le positionnement des animaux et leur poids influent sur l’exposition et sur les valeurs TAS. On peut cependant supposer que la variabilité parmi les groupes (exposition CEM-HF et exposition simulée) est à peu près identique. L’étude s’intéresse à un seul niveau d’exposition, soit un TAS relatif au corps entier de 4 W/kg, alors que l’étude NTP employait trois niveaux d’exposition différents (TAS respectivement de 1,5, 3 et 6 W/kg), ce qui a permis d’identifier une relation dose-effet. L’étude NTP avait observé une augmentation significative des schwannomes cardiaques malins et des gliomes cérébraux pour le plus haut niveau d’exposition (TAS de 6 W/kg), un niveau que la présente étude n’a pas exploré. Par ailleurs, cette dernière emploie des rats mâles provenant d’un autre éleveur. Cela signifie que la lignée d’élevage et la variété (« substrain »), et donc le matériel génétique des animaux, n’est pas identique non plus à celui de l’étude NTP. Dans la nouvelle étude, les animaux soumis à une exposition simulée sont utilisés comme individus de contrôle. À noter que l’étude ne fait intervenir aucun contrôle historique, probablement car il n’en existe pas dans les laboratoires impliqués. On mentionnera ici que les contrôles employés, ceux avec exposition simulée, sont certes les plus pertinents. Cependant, si l’on observe une augmentation de l’incidence tumorale pour des tumeurs habituellement peu fréquentes telles que les schwannomes cardiaques, les contrôles historiques sont intéressants, car ils renseignent sur l’incidence tumorale de la tumeur concernée au fil des ans pour les rats de la lignée en question (variété). Concrètement, cela signifie que si ce type de tumeur augmente, il est difficile d’évaluer si l’effet a un lien avec les CEM-HF.
En résumé, il existe des différences entre l’étude NTP et l’étude de réplication. Il faut toutefois rappeler qu’il n’est pratiquement jamais possible de reproduire à l’identique des expériences sur animaux. Quelques paramètres essentiels rendent une comparaison des résultats des deux études difficile : en particulier l’exposition (TAS de 4 W/kg pour la nouvelle étude), qui est inférieure à celle pour laquelle l’étude NTP a observé des effets significatifs pour les schwannomes cardiaques et les gliomes, mais aussi l’absence d’une analyse dose-effet et de contrôles historiques ainsi que les différences concernant l’origine et la génétique des rats étudiés. </t>
  </si>
  <si>
    <t>Les effets des ondes millimétriques sur l’activité des gènes et sur la structure secondaire de l’ADN</t>
  </si>
  <si>
    <t xml:space="preserve">Les effets non thermiques des champs électromagnétiques de haute fréquence (CEM-HF) dans le domaine des ondes millimétriques (MMW) sur les systèmes biologiques sont encore peu étudiés. Lawler et al. (2022) ont mené une étude in vitro analysant l’expression sur tout le génome de fibroblastes humains primaires afin de déceler de potentiels effets biologiques d’un CEM-HF de 60 GHz. Pour réduire au minimum les influences thermiques, les chercheurs ont utilisé un système d’exposition entièrement nouveau fondé sur un faisceau continu exposant les cellules de manière intermittente.  De l’ordre de 2,6 mW/cm2, la puissance employée dépasse les valeurs limites (2 mW/cm2 pour 6 min et 1 mW/cm2 pour 30 min). Pendant quatre jours, des doses journalières de 46,8 J/cm2 ont été administrées sur une durée de cinq heures. 
À la suite de l’exposition aux MMW, les auteurs ont pu observer des changements d’activité (expression génétique) pour quelque 250 gènes. La réaction des cellules après exposition était sensiblement différente en comparaison des changements dans l’expression génétiques liés aux traitements thermiques et TGF-ß (induction des cytokines) qui sont connus et était aussi moins étendue que ceux-ci. Les chercheurs ont constaté une augmentation de la production de collagène et de la formation de fibres extracellulaires de collagène, confirmée par des tests complémentaires par immunofluorescence, mais aussi de multiples changements d’activité des gènes jouant un rôle dans la réplication et dans la structure de l’ADN et de la chromatine. L’on sait que de telles modifications structurelles influencent l’expression et pourraient rentrer en ligne de compte comme cause potentielle pour les effets considérés. De fait, les auteurs ont montré une diminution des structures secondaires de l’ADN (des types G-quadruplexes et i-motif) chez les cellules exposées, qu’on trouve également dans les gènes à l’activité modifiée. Cependant, l’étude a uniquement permis d’observer une corrélation et non d’expliquer le mécanisme biologique sous-jacent. Elle n’a pas non plus décelé d’indices de dommages à l’ADN (mise en évidence de cassures double brin de l’ADN par immunofluorescence pour γH2AX). 
Au vu du manque de données disponibles sur les effets des MMW, il est difficile de situer les observations de Lawler et al. (2022), dont la méthodologie ne s’appuie sur aucune hypothèse. Leurs résultats fournissent cependant des points de départ utiles pour des recherches ultérieures. Par ailleurs, on notera que des facteurs de stress additionnels ont pu influer sur la réponse des cellules. L’exposition a en effet été réalisée dans des conditions non physiologiques (faible proportion de sérum et hors incubateur), ce qui pourrait avoir des répercussions sur la réponse cellulaire normale.
</t>
  </si>
  <si>
    <t xml:space="preserve">Ahn YH, Imaida K, Kim YB, Han KH, Pack JK, Kim N, Jeon SB, Lee AK, Choi HD, Wang J, Kawabe M, Kim HS </t>
  </si>
  <si>
    <t>An International Collaborative Animal Study of the Carcinogenicity of Mobile Phone Radiofrequency Radiation: Considerations for Preparation of a Global Project.</t>
  </si>
  <si>
    <t>2022 May;43(4):218-224</t>
  </si>
  <si>
    <t>https://pubmed.ncbi.nlm.nih.gov/35476263/</t>
  </si>
  <si>
    <t>Lawler NB, Evans CW, Romanenko S, Chaudhari N, Fear M, Wood F, Smith NM, Wallace VP, Swaminathan Iyer K</t>
  </si>
  <si>
    <t>Millimeter waves alter DNA secondary structures and modulate the transcriptome in human fibroblasts</t>
  </si>
  <si>
    <t>Biomed Opt Express</t>
  </si>
  <si>
    <t>Biomed Opt Express. 2022 Apr 28;13(5):3131-3144</t>
  </si>
  <si>
    <t>https://pubmed.ncbi.nlm.nih.gov/35774325/</t>
  </si>
  <si>
    <t xml:space="preserve">Diese Sonderausgabe des BERENIS-Newsletters enthält eine aktuelle Einschätzung zu einem 
möglichen Zusammenhang von oxidativem Stress und der Exposition mit Magnet- und elektromagnetischen Feldern und deren Wirkungen auf die Gesundheit. Dafür wurden zwischen 2010 
und 2020 erschienene relevante Tier- und Zellstudien identifiziert und zusammenfassend beurteilt. Ein ausführlicher Bericht, in dem diese Studien detailliert vorgestellt werden, ist vom BAFU 
veröffentlicht. Diese Sonderausgabe enthält eine Kurzfassung des Berichts. </t>
  </si>
  <si>
    <t>Le présent numéro spécial de la Newsletter BERENIS contient une évaluation de la situation actuelle 
concernant un lien possible entre le stress oxydatif et l’exposition aux champs magnétiques et électromagnétiques et leurs effets sur la santé. À cette fin, les études pertinentes sur les animaux et 
les cellules publiées entre 2010 et 2020 ont été identifiées et évaluées en résumé. Un rapport détaillé présentant ces études a été publié par l’Office fédéral de l’environnement (OFEV). La 
présente édition spéciale contient une version abrégée du rapport.</t>
  </si>
  <si>
    <t>https://www.bafu.admin.ch/dam/bafu/de/dokumente/elektrosmog/fachinfo-daten/newsletter_berenis_sonderausgabe_januar_2021.pdf.download.pdf/Newsletter%20BERENIS%20-%20Sonderausgabe%20Januar%202021.pdf</t>
  </si>
  <si>
    <t>https://www.bafu.admin.ch/dam/bafu/fr/dokumente/elektrosmog/fachinfo-daten/newsletter_berenis_sonderausgabe_januar_2021.pdf.download.pdf/Newsletter%20BERENIS%20-%20Edition%20sp%C3%A9ciale%20janvier%202021.pdf</t>
  </si>
  <si>
    <t>https://www.bafu.admin.ch/dam/bafu/en/dokumente/elektrosmog/fachinfo-daten/newsletter_berenis_sonderausgabe_januar_2021.pdf.download.pdf/Newsletter%20BERENIS%20-%20Special%20Issue%20January%202021.pdf</t>
  </si>
  <si>
    <t>Schuermann D, Mevissen M</t>
  </si>
  <si>
    <t>Manmade Electromagnetic Fields and Oxidative Stress-Biological Effects and Consequences for Health</t>
  </si>
  <si>
    <t>Int J Mol Sci</t>
  </si>
  <si>
    <t>2021 Apr 6;22(7):3772</t>
  </si>
  <si>
    <t>https://pubmed.ncbi.nlm.nih.gov/33917298/</t>
  </si>
  <si>
    <t>Elektromagnetische Felder vermitteln eine effiziente Reprogrammierung von Zellen in den pluripotenten Zustand</t>
  </si>
  <si>
    <t>Les champs électromagnétiques facilitent une reprogrammation cellulaire vers l'état pluripotent</t>
  </si>
  <si>
    <t>Electromagnetic Fields Mediate Efficient Cell Reprogramming into The Pluripotent State</t>
  </si>
  <si>
    <t>Exposure to 1800 MHz radiofrequency radiation impairs neurite outgrowth of embryonic neural stem cells</t>
  </si>
  <si>
    <t>Eine 1800 MHz Hochfrequenz-Exposition beeinträchtigt das Wachstum von Neuriten embryonaler neuraler Stammzellen</t>
  </si>
  <si>
    <t>Exposition aux rayonnements de radiofréquence de 1800 MHz entrave la croissance des neurites des cellules souches neurales embryonnaires</t>
  </si>
  <si>
    <t>Differential Pro-Inflammatory Responses of Astrocytes and Microglia Involve STAT3 Activation in Response to 1800 MHz Radiofrequency Fields</t>
  </si>
  <si>
    <t>Les réponses pro-inflammatoires différentielles des astrocytes et de la microglie impliquent l'activation de STAT3 en réponse aux champs de radiofréquence de 1800 MHz.</t>
  </si>
  <si>
    <t>Unterschiedliche pro-inflammatorische Reaktionen von Astrozyten und Mikroglia involvieren STAT3-Aktivierung als Reaktion auf 1800 MHz Hochfrequenzfelder.</t>
  </si>
  <si>
    <t>Potential health impacts of residential exposures to extremely low frequency magnetic fields in Europe</t>
  </si>
  <si>
    <t>Mögliche gesundheitliche Auswirkungen der Exposition durch niederfrequente Magnetfelder in Wohnungen in Europa</t>
  </si>
  <si>
    <t>Potentiel effet sur la santé lié à l'exposition résidentielle aux champs magnétiques d'extrêmement basse fréquence en Europe</t>
  </si>
  <si>
    <t>Proximité résidentielle à des sources de champs électromagnétiques et poids à la naissance : Minimiser la confusion résiduelle en utilisant l'imputation multiple et l'appariement des scores de propension</t>
  </si>
  <si>
    <t>Residential proximity to electromagnetic field sources and birth weight: Minimizing residual confounding using multiple imputation and propensity score matching</t>
  </si>
  <si>
    <t>Wohnnähe zu elektromagnetischen Feldern und Geburtsgewicht: Minimierung der restlichen Störfaktoren durch mehrfache Imputation und Propensity Score Matching</t>
  </si>
  <si>
    <t>Maternal residential proximity to sources of extremely low frequency electromagnetic fields and adverse birth outcomes in a UK cohort</t>
  </si>
  <si>
    <t>Wohnortnähe von Müttern zu Quellen extrem niederfrequenter elektromagnetischer Felder und ungünstige Geburtsergebnisse in einer britischen Kohorte</t>
  </si>
  <si>
    <t>Proximité résidentielle des mères avec des sources de champs électromagnétiques d'extrêmement basse fréquence et résultats indésirables à la naissance dans une cohorte britannique.</t>
  </si>
  <si>
    <t>Exposition professionnelle aux champs magnétiques et aux chocs électriques et risque de SLA : Cohorte nationale suisse</t>
  </si>
  <si>
    <t>Berufliche Exposition gegenüber Magnetfeldern und Elektroschocks und ALS-Risiko: Die Schweizerische Nationale Kohorte</t>
  </si>
  <si>
    <t>Occupational exposure to magnetic fields and electric shocks and risk of ALS: The Swiss National Cohort</t>
  </si>
  <si>
    <t>Grouping of Experimental Conditions as an Approach to Evaluate Effects of Extremely Low-Frequency Magnetic Fields on Oxidative Response in in vitro Studies</t>
  </si>
  <si>
    <t>Le regroupement des conditions expérimentales comme approche pour évaluer les effets des champs magnétiques de très basse fréquence sur la réponse oxydative dans les études in vitro</t>
  </si>
  <si>
    <t>Gruppierung der Versuchsbedingungen als Ansatz zur Bewertung der Auswirkungen extrem niederfrequenter Magnetfelder auf die oxidative Reaktion in in vitro Studien</t>
  </si>
  <si>
    <t>Évaluations de l’étude NTP et de l’étude Ramazzini</t>
  </si>
  <si>
    <t>Evaluierung der NTP-Studie und der Ramazzini-Studie</t>
  </si>
  <si>
    <r>
      <t xml:space="preserve">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Im Gegensatz 
zu vielen anderen Studien, die Karzinogenität oder Co-Karzinogenität evaluierten, wurden die Tiere in 
diesen beiden Studien für die Exposition nicht in enge Röhren gesteckt, sondern freilaufend in ihren 
Käfigen exponiert. Dies reduzierte den durch die Beengtheit verursachten Stress, und ermöglichte 
längere Expositionen. (...) </t>
    </r>
    <r>
      <rPr>
        <i/>
        <sz val="9"/>
        <color theme="1"/>
        <rFont val="Arial"/>
        <family val="2"/>
      </rPr>
      <t>Bitte beachten Sie, dass die Gesamtbewertung nicht in der App verfügbar ist. Bitte laden Sie das PDF des Newsletters herunter.</t>
    </r>
  </si>
  <si>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Contrairement à de nombreuses autres études évaluant la cancérogénicité ou la co-cancérogénicité, 
les animaux de ces deux études n’ont pas été placés dans des tubes étroits en vue de l’exposition, mais 
laissés libres de leurs mouvements dans leurs cages lors des tests. Cela a réduit le stress causé par le 
manque d’espace et a permis d’allonger la durée des expositions. (...) Veuiller noter que l'évaluation totale n'est pas disponible dans l'application Shiny, veuillez télécharger le PDF de la newsletter.</t>
  </si>
  <si>
    <t>Evaluation of the NTP and Ramazzini studies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</si>
  <si>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these studies are referred to as "NTP study" and "Ramazzini Study", respectively. Compared to earlier studies with laboratory animals that evaluated carcinogenicity1 or co-carcinogenicity of RF EMF, these studies are novel in that the animals were exposed roaming freely in their cages instead of being placed in narrow tubes for exposure. This reduced the stress caused by confinement and allowed for longer daily exposures. (...) Please note that the full evaluation is not available in the shiny app, please download the PDF of the newsletter.</t>
  </si>
  <si>
    <t>An international collaboration on carcinogenicity of radiofrequency electromagnetic field in experimental animals (partial replication of the NTP study in rats): introducing the project design</t>
  </si>
  <si>
    <t>In 2019, a partial replication of the NTP study (see special issue November 2018) was started in Asia, investigating effects of CDMA1 (900 MHz) RF-EMF on carcinogenesis in experimental animals (rats), especially brain tumours (glioma) and cardiac schwannoma, as well as genotoxicity. The project will run for a total of five years, and the animal studies will be conducted in Japan as well as in South Korea. The authors stress the importance of identical exposure and environmental conditions of the animals to the NTP study. The exposure system was newly built and is therefore not identical to the one used in the NTP study. The number of animals is 70 per exposure group (sham, exposed, cage control) and per country, while in the NTP study there were 90 animals per group. The dosimetry accounts for the weight of the animals and the weight gain over the entire course of the study. Variations in the positioning of the animals as well as the weight influence the exposure and SAR values. However, it is reasonable to assume that the variability is approximately the same within all groups (RF-EMF- and sham-exposed animals). Another difference to the NTP study is the dose regime, namely, in the planned study only one exposure level (4 W/kg whole-body SAR) will be used, whereas the NTP study used three exposure levels (1.5, 3 and 6 W/kg SAR). Therefore, dose-response cannot be evaluated in the Asian study. The significant increase in malignant heart schwannoma as well as glioma in the brain, found in the NTP study at the highest exposure of 6 W/kg (whole-body SAR), cannot be followed up on in this study. Furthermore, the male rats used in the study originate from a different breeder, which means that the strain, the substrain and thus the genetic material of the animals is also not identical to that used in the NTP study. In the new study, only sham-exposed animals are used as controls. Historical controls are not included, probably because they are not available in the laboratories. In this context, it should be noted that sham controls are more relevant than historical controls which are predominantly used for rare tumors. However, in the case of an increased incidence of generally rare tumors such as heart schwannoma, historical controls can be beneficial, as these allow assessing the respective tumour incidence over several years in the rat strain and substrain, provided that the data were obtained in the same laboratory and over a time period of about five years. In practical terms, this means that in the case of an increase in such a tumour type, it is difficult to assess whether the effect is due to RF-EMF exposure.
Overall, there are differences between the NTP and the Asian replication study, although an exact replication of such animal experiments is virtually not feasible. A number of important parameters will complicate a comparative assessment of the results of the two studies, in particular the exposure at 4 W/kg (whole-body SAR), which is below the exposure level in which significant effects were found in the NTP study, namely for the incidence of schwannoma and glioma. In addition, the lack of a dose-response analysis, historical controls, and different origins and genetic disposition of the rats may prevent a direct comparison of the studies.</t>
  </si>
  <si>
    <t>https://www.bafu.admin.ch/dam/bafu/de/dokumente/elektrosmog/fachinfo-daten/newsletter_berenis_nr._32.pdf.download.pdf/Newsletter%20BERENIS%20Nr.%2032%20-%20DEUTSCH.pdf</t>
  </si>
  <si>
    <t>https://www.bafu.admin.ch/dam/bafu/fr/dokumente/elektrosmog/fachinfo-daten/newsletter_berenis_nr._32.pdf.download.pdf/Newsletter%20BERENIS%20Nr.%2032%20-%20FRANCAIS.pdf</t>
  </si>
  <si>
    <t>https://www.bafu.admin.ch/dam/bafu/en/dokumente/elektrosmog/fachinfo-daten/Newsletter%20BERENIS%20Nr.%2032%20-%20ENGLISH.pdf.download.pdf/Newsletter%20BERENIS%20Nr.%2032%20-%20ENGLISH.pdf</t>
  </si>
  <si>
    <t>The influence of millimeter waves on gene activity and the secondary structure of DANN</t>
  </si>
  <si>
    <t>Non-thermal effects of RF-EMF in the range of millimeter waves (MMW) on biological systems have been sparsely studied so far. In order to identify possible biological effects of a 60 GHz RF-EMF, Lawler and colleagues (2022) conducted an in vitro study assessing genome-wide gene expression in human primary fibroblasts. A newly developed exposure system based on a beam continuously exposed cells in phases to minimise thermal effects. The power density of 2.6 mW/cm2 was above the limit values (2 mW/cm2 for 6 min and 1 mW/cm2 for 30 min), and daily doses of 46.8 J/cm2 were administered in a time window of 5 hours during 4 days.
The authors reported that the gene expression of about 250 genes was altered after MMW exposure. The cell response after exposure differed significantly from known expression changes caused by thermal and cytokine-induced (TGFβ) treatments and was also less pronounced. In addition, an increase in expression of genes involved in collagen production and the formation of extracellular collagen fibers was observed, which was confirmed in further investigations using immunofluorescence. Also, changes in the activity of genes that play a role in replication and in the structure of DNA and chromatin were frequently found. These structural changes are known to influence gene expression and could therefore be a possible cause of the effects. The authors indeed showed a reduction of secondary DNA structures (class G4 and iMotif) in exposed cells, which are enriched in the genes with altered activity. However, this is a correlation and the underlying biological mechanism remains unknown. Moreover, no evidence of DNA damage was found (detection of DNA double-strand breaks by immunofluorescence for γH2AX). 
Due to the patchy nature of available data on the effect of MMW, the observations of Lawler et al. (2022) based on a hypothesis-free study design are difficult to contextualise but offer helpful starting points for further investigations. Furthermore, it should be noted that additional stress factors may have modulated the cellular responses. One needs to note that the exposure was carried out under non-physiological conditions (reduced proportion of serum, and outside the incubator), which is likely to alter the normal cellular response.</t>
  </si>
  <si>
    <t>Biomarker; Tumore | Krebs; Gen- &amp; Proteinexpression; Genotoxizität | DNA-Schäden</t>
  </si>
  <si>
    <t>Neurodegenerative Erkrankungen; Biomarker; Gen- &amp; Proteinexpression</t>
  </si>
  <si>
    <t>Neurodegenerative Erkrankungen; Biomarker; Gen- &amp; Proteinexpression; Krebs; Gen- &amp; Proteinexpression</t>
  </si>
  <si>
    <t>Schwangere Frauen; Kinder | Jugendliche</t>
  </si>
  <si>
    <t>Oxidativer Stress | Reaktive Sauerstoffspezies; Biomarker; Tumore | Krebs; Gen- &amp; Proteinexpression; Genotoxizität | DNA-Schäden</t>
  </si>
  <si>
    <t>Hochspannungsleitungen; Erdmagnetfeld; Unspezifisch</t>
  </si>
  <si>
    <t>Hochspannungsleitungen; Unspezifisch</t>
  </si>
  <si>
    <t>NTP- und Ramazzini-Studie. Einträge für die NTP-Studie reduziert auf die beiden "final reports".</t>
  </si>
  <si>
    <t xml:space="preserve">Zielgrösse: Reprogrammierungs-Effizienz von Zellen </t>
  </si>
  <si>
    <t>Zielgrösse: Auswirkungen auf embryonale neuronale Stammzellen (z.B. Apoptose, Proliferation, Auswachsen von Neuriten)</t>
  </si>
  <si>
    <t>Zielgrösse: Entzündungsfördernde Zellantwort</t>
  </si>
  <si>
    <t>Health impact assessment</t>
  </si>
  <si>
    <t xml:space="preserve">(zusammen mit weiterer Studie von de Vocht besprochen, deswegen nicht extra gezählt </t>
  </si>
  <si>
    <t>Fortpflanzung | Fertilität; Andere</t>
  </si>
  <si>
    <t>November</t>
  </si>
  <si>
    <t>Januar</t>
  </si>
  <si>
    <t>Ratten | Mäuse; Zellkulturen</t>
  </si>
  <si>
    <t>Tierstudie; Zellstudie</t>
  </si>
  <si>
    <t>extra_NL_3</t>
  </si>
  <si>
    <t>extra_NL_2</t>
  </si>
  <si>
    <t>extra_NL_1</t>
  </si>
  <si>
    <t>Extra Newsletter 2 - ICNIRP Guidelines for limiting exposure to electromagnetic fields (100 kHz to 300 GHz).</t>
  </si>
  <si>
    <t>multiple publications</t>
  </si>
  <si>
    <t xml:space="preserve"> </t>
  </si>
  <si>
    <t>NTP &amp; Ramazzini</t>
  </si>
  <si>
    <t>Extra Newsletter 1 - Evaluation of the NTP study and Ramazzini study</t>
  </si>
  <si>
    <t>Occupational exposure to magnetic fields and electric shocks and risk of ALS: The Swiss National Cohort.</t>
  </si>
  <si>
    <t>Maternal residential proximity to sources of extremely low frequency electromagnetic fields and adverse birth outcomes in a UK cohort.</t>
  </si>
  <si>
    <t>Potential health impacts of residential exposures to extremely low frequency magnetic fields in Europe.</t>
  </si>
  <si>
    <t>Differential Pro-Inflammatory Responses of Astrocytes and Microglia Involve STAT3 Activation in Response to 1800 MHz Radiofrequency Fields.</t>
  </si>
  <si>
    <t>Exposure to 1800 MHz radiofrequency radiation impairs neurite outgrowth of embryonic neural stem cells.</t>
  </si>
  <si>
    <t>Grouping of Experimental Conditions as an Approach to Evaluate Effects of Extremely Low-Frequency Magnetic Fields on Oxidative Response in in vitro Studies.</t>
  </si>
  <si>
    <t>Se7</t>
  </si>
  <si>
    <t>Z23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</si>
</sst>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name val="Arial"/>
      <family val="2"/>
    </font>
    <font>
      <b/>
      <sz val="9"/>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b/>
      <sz val="9"/>
      <color theme="0"/>
      <name val="Arial"/>
      <family val="2"/>
    </font>
    <font>
      <b/>
      <sz val="11"/>
      <color theme="1"/>
      <name val="Arial"/>
      <family val="2"/>
    </font>
    <font>
      <sz val="9"/>
      <color theme="4"/>
      <name val="Arial"/>
      <family val="2"/>
    </font>
    <font>
      <sz val="9"/>
      <name val="Arial"/>
      <family val="2"/>
    </font>
    <font>
      <sz val="9"/>
      <color rgb="FFFF0000"/>
      <name val="Arial"/>
      <family val="2"/>
    </font>
    <font>
      <sz val="10"/>
      <name val="Arial"/>
      <family val="2"/>
    </font>
    <font>
      <i/>
      <sz val="9"/>
      <color theme="1"/>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bgColor indexed="64"/>
      </patternFill>
    </fill>
    <fill>
      <patternFill patternType="solid">
        <fgColor rgb="FF002060"/>
        <bgColor indexed="64"/>
      </patternFill>
    </fill>
    <fill>
      <patternFill patternType="solid">
        <fgColor rgb="FF666699"/>
        <bgColor indexed="64"/>
      </patternFill>
    </fill>
    <fill>
      <patternFill patternType="solid">
        <fgColor rgb="FFCCCCFF"/>
        <bgColor indexed="64"/>
      </patternFill>
    </fill>
    <fill>
      <patternFill patternType="solid">
        <fgColor rgb="FFFFFF00"/>
        <bgColor indexed="64"/>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9">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8" borderId="11" xfId="0" applyFont="1" applyFill="1" applyBorder="1" applyAlignment="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18" fillId="38" borderId="13" xfId="0" applyFont="1" applyFill="1" applyBorder="1" applyAlignment="1"/>
    <xf numFmtId="0" fontId="20" fillId="0" borderId="0" xfId="0" applyFont="1"/>
    <xf numFmtId="0" fontId="23" fillId="36" borderId="12" xfId="0" applyFont="1" applyFill="1" applyBorder="1"/>
    <xf numFmtId="0" fontId="23" fillId="35" borderId="12" xfId="0" applyFont="1" applyFill="1" applyBorder="1"/>
    <xf numFmtId="0" fontId="23" fillId="34" borderId="12" xfId="0" applyFont="1" applyFill="1" applyBorder="1"/>
    <xf numFmtId="0" fontId="0" fillId="0" borderId="0" xfId="0" applyAlignment="1">
      <alignment horizontal="left"/>
    </xf>
    <xf numFmtId="14" fontId="18" fillId="38" borderId="13" xfId="0" applyNumberFormat="1" applyFont="1" applyFill="1" applyBorder="1"/>
    <xf numFmtId="0" fontId="23" fillId="40" borderId="12" xfId="0" applyFont="1" applyFill="1" applyBorder="1"/>
    <xf numFmtId="0" fontId="23" fillId="0" borderId="12" xfId="0" applyFont="1" applyBorder="1"/>
    <xf numFmtId="14" fontId="23" fillId="35" borderId="12" xfId="0" applyNumberFormat="1" applyFont="1" applyFill="1" applyBorder="1"/>
    <xf numFmtId="14" fontId="18" fillId="38" borderId="11" xfId="0" applyNumberFormat="1" applyFont="1" applyFill="1" applyBorder="1"/>
    <xf numFmtId="0" fontId="23"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Border="1" applyAlignment="1">
      <alignment vertical="center" wrapText="1"/>
    </xf>
    <xf numFmtId="49" fontId="20" fillId="33" borderId="0" xfId="0" applyNumberFormat="1" applyFont="1" applyFill="1"/>
    <xf numFmtId="0" fontId="20" fillId="33" borderId="0" xfId="0" applyFont="1" applyFill="1" applyBorder="1" applyAlignment="1">
      <alignment vertical="center" wrapText="1"/>
    </xf>
    <xf numFmtId="49" fontId="20" fillId="37" borderId="0" xfId="0" applyNumberFormat="1" applyFont="1" applyFill="1"/>
    <xf numFmtId="0" fontId="20" fillId="37" borderId="0" xfId="0" applyFont="1" applyFill="1" applyBorder="1" applyAlignment="1">
      <alignment vertical="center" wrapText="1"/>
    </xf>
    <xf numFmtId="0" fontId="21" fillId="37" borderId="0" xfId="0" applyFont="1" applyFill="1" applyBorder="1" applyAlignment="1">
      <alignment vertical="center" wrapText="1"/>
    </xf>
    <xf numFmtId="49" fontId="20" fillId="44" borderId="0" xfId="0" applyNumberFormat="1" applyFont="1" applyFill="1"/>
    <xf numFmtId="0" fontId="20" fillId="44" borderId="0" xfId="0" applyFont="1" applyFill="1" applyBorder="1" applyAlignment="1">
      <alignment vertical="center" wrapText="1"/>
    </xf>
    <xf numFmtId="0" fontId="20" fillId="44" borderId="0" xfId="0" applyFont="1" applyFill="1"/>
    <xf numFmtId="49" fontId="20" fillId="45" borderId="0" xfId="0" applyNumberFormat="1" applyFont="1" applyFill="1"/>
    <xf numFmtId="0" fontId="21" fillId="45" borderId="0" xfId="0" applyFont="1" applyFill="1" applyBorder="1" applyAlignment="1">
      <alignment vertical="center" wrapText="1"/>
    </xf>
    <xf numFmtId="0" fontId="20" fillId="45" borderId="0" xfId="0" applyFont="1" applyFill="1" applyBorder="1" applyAlignment="1">
      <alignment vertical="center" wrapText="1"/>
    </xf>
    <xf numFmtId="49" fontId="20" fillId="46" borderId="0" xfId="0" applyNumberFormat="1" applyFont="1" applyFill="1"/>
    <xf numFmtId="0" fontId="20" fillId="46" borderId="0" xfId="0" applyFont="1" applyFill="1" applyBorder="1" applyAlignment="1">
      <alignment vertical="center" wrapText="1"/>
    </xf>
    <xf numFmtId="0" fontId="21" fillId="46" borderId="14" xfId="0" applyFont="1" applyFill="1" applyBorder="1" applyAlignment="1">
      <alignment vertical="center" wrapText="1"/>
    </xf>
    <xf numFmtId="49" fontId="20" fillId="47" borderId="0" xfId="0" applyNumberFormat="1" applyFont="1" applyFill="1"/>
    <xf numFmtId="0" fontId="20" fillId="47" borderId="0" xfId="0" applyFont="1" applyFill="1" applyBorder="1" applyAlignment="1">
      <alignment vertical="center" wrapText="1"/>
    </xf>
    <xf numFmtId="0" fontId="21" fillId="47" borderId="0" xfId="0" applyFont="1" applyFill="1" applyBorder="1" applyAlignment="1">
      <alignment vertical="center" wrapText="1"/>
    </xf>
    <xf numFmtId="49" fontId="20" fillId="48" borderId="0" xfId="0" applyNumberFormat="1" applyFont="1" applyFill="1"/>
    <xf numFmtId="0" fontId="20" fillId="48" borderId="0" xfId="0" applyFont="1" applyFill="1" applyBorder="1" applyAlignment="1">
      <alignment vertical="center" wrapText="1"/>
    </xf>
    <xf numFmtId="0" fontId="18" fillId="0" borderId="11" xfId="0" applyFont="1" applyFill="1" applyBorder="1"/>
    <xf numFmtId="0" fontId="28" fillId="49" borderId="12" xfId="0" applyFont="1" applyFill="1" applyBorder="1" applyAlignment="1"/>
    <xf numFmtId="0" fontId="28" fillId="50" borderId="12" xfId="0" applyFont="1" applyFill="1" applyBorder="1"/>
    <xf numFmtId="0" fontId="28" fillId="51" borderId="12" xfId="0" applyFont="1" applyFill="1" applyBorder="1"/>
    <xf numFmtId="0" fontId="18" fillId="52" borderId="13" xfId="0" applyFont="1" applyFill="1" applyBorder="1"/>
    <xf numFmtId="0" fontId="18" fillId="52" borderId="11" xfId="0" applyFont="1" applyFill="1" applyBorder="1"/>
    <xf numFmtId="0" fontId="18" fillId="38" borderId="11" xfId="0" applyFont="1" applyFill="1" applyBorder="1" applyAlignment="1">
      <alignment wrapText="1"/>
    </xf>
    <xf numFmtId="0" fontId="22" fillId="33" borderId="0" xfId="0" applyFont="1" applyFill="1"/>
    <xf numFmtId="0" fontId="0" fillId="0" borderId="0" xfId="0" applyNumberFormat="1"/>
    <xf numFmtId="0" fontId="0" fillId="0" borderId="0" xfId="0" pivotButton="1"/>
    <xf numFmtId="0" fontId="0" fillId="53" borderId="0" xfId="0" applyFill="1" applyAlignment="1">
      <alignment horizontal="left"/>
    </xf>
    <xf numFmtId="0" fontId="0" fillId="53" borderId="0" xfId="0" applyNumberFormat="1" applyFill="1"/>
    <xf numFmtId="0" fontId="0" fillId="53" borderId="0" xfId="0" applyFill="1"/>
    <xf numFmtId="0" fontId="29" fillId="0" borderId="0" xfId="0" applyFont="1"/>
    <xf numFmtId="0" fontId="18" fillId="0" borderId="0" xfId="0" applyFont="1"/>
    <xf numFmtId="0" fontId="30" fillId="0" borderId="0" xfId="0" applyFont="1"/>
    <xf numFmtId="0" fontId="31" fillId="0" borderId="0" xfId="0" applyFont="1"/>
    <xf numFmtId="49" fontId="0" fillId="0" borderId="0" xfId="0" applyNumberFormat="1" applyAlignment="1">
      <alignment horizontal="right"/>
    </xf>
    <xf numFmtId="0" fontId="0" fillId="0" borderId="0" xfId="0" applyFill="1" applyAlignment="1">
      <alignment horizontal="left"/>
    </xf>
    <xf numFmtId="0" fontId="0" fillId="0" borderId="0" xfId="0" applyNumberFormat="1" applyFill="1"/>
    <xf numFmtId="0" fontId="0" fillId="0" borderId="0" xfId="0" applyFill="1"/>
    <xf numFmtId="49" fontId="14" fillId="0" borderId="0" xfId="0" applyNumberFormat="1" applyFont="1" applyAlignment="1">
      <alignment horizontal="right"/>
    </xf>
    <xf numFmtId="0" fontId="0" fillId="54" borderId="0" xfId="0" applyFill="1"/>
    <xf numFmtId="0" fontId="29" fillId="43" borderId="0" xfId="0" applyFont="1" applyFill="1" applyAlignment="1">
      <alignment horizontal="right"/>
    </xf>
    <xf numFmtId="0" fontId="29" fillId="43" borderId="0" xfId="0" applyFont="1" applyFill="1"/>
    <xf numFmtId="0" fontId="31" fillId="38" borderId="11" xfId="0" applyFont="1" applyFill="1" applyBorder="1"/>
    <xf numFmtId="14" fontId="31" fillId="38" borderId="11" xfId="0" applyNumberFormat="1" applyFont="1" applyFill="1" applyBorder="1"/>
    <xf numFmtId="0" fontId="31" fillId="38" borderId="13" xfId="0" applyFont="1" applyFill="1" applyBorder="1"/>
    <xf numFmtId="0" fontId="31" fillId="38" borderId="11" xfId="0" applyFont="1" applyFill="1" applyBorder="1" applyAlignment="1"/>
    <xf numFmtId="0" fontId="31" fillId="38" borderId="11" xfId="0" applyFont="1" applyFill="1" applyBorder="1" applyAlignment="1">
      <alignment wrapText="1"/>
    </xf>
    <xf numFmtId="0" fontId="31" fillId="33" borderId="11" xfId="0" applyFont="1" applyFill="1" applyBorder="1"/>
    <xf numFmtId="0" fontId="31" fillId="37" borderId="11" xfId="0" applyFont="1" applyFill="1" applyBorder="1"/>
    <xf numFmtId="0" fontId="31" fillId="52" borderId="11" xfId="0" applyFont="1" applyFill="1" applyBorder="1"/>
    <xf numFmtId="0" fontId="31" fillId="0" borderId="11" xfId="0" applyFont="1" applyBorder="1"/>
    <xf numFmtId="0" fontId="14" fillId="53" borderId="0" xfId="0" applyNumberFormat="1" applyFont="1" applyFill="1"/>
    <xf numFmtId="0" fontId="18" fillId="38" borderId="13" xfId="0" applyFont="1" applyFill="1" applyBorder="1" applyAlignment="1">
      <alignment wrapText="1"/>
    </xf>
    <xf numFmtId="0" fontId="18" fillId="33" borderId="13" xfId="0" applyFont="1" applyFill="1" applyBorder="1" applyAlignment="1">
      <alignment wrapText="1"/>
    </xf>
    <xf numFmtId="0" fontId="32" fillId="38" borderId="11" xfId="0" applyFont="1" applyFill="1" applyBorder="1" applyAlignment="1">
      <alignment horizontal="right"/>
    </xf>
    <xf numFmtId="0" fontId="33" fillId="53" borderId="0" xfId="0" applyNumberFormat="1" applyFont="1" applyFill="1"/>
    <xf numFmtId="0" fontId="18" fillId="53" borderId="13" xfId="0" applyFont="1" applyFill="1" applyBorder="1"/>
    <xf numFmtId="0" fontId="18" fillId="33" borderId="11" xfId="0" quotePrefix="1" applyFont="1" applyFill="1" applyBorder="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6">
    <dxf>
      <font>
        <color auto="1"/>
      </font>
    </dxf>
    <dxf>
      <font>
        <color rgb="FFFF0000"/>
      </font>
    </dxf>
    <dxf>
      <font>
        <color rgb="FFFF0000"/>
      </font>
    </dxf>
    <dxf>
      <font>
        <color rgb="FFFF0000"/>
      </font>
    </dxf>
    <dxf>
      <font>
        <color rgb="FFFF0000"/>
      </font>
    </dxf>
    <dxf>
      <font>
        <color rgb="FFFF0000"/>
      </font>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CCCCFF"/>
      <color rgb="FF9999FF"/>
      <color rgb="FF666699"/>
      <color rgb="FF00CCFF"/>
      <color rgb="FF33CCCC"/>
      <color rgb="FF33CCFF"/>
      <color rgb="FFCC99FF"/>
      <color rgb="FF99CCFF"/>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484</xdr:colOff>
      <xdr:row>48</xdr:row>
      <xdr:rowOff>152400</xdr:rowOff>
    </xdr:from>
    <xdr:to>
      <xdr:col>9</xdr:col>
      <xdr:colOff>157833</xdr:colOff>
      <xdr:row>55</xdr:row>
      <xdr:rowOff>133211</xdr:rowOff>
    </xdr:to>
    <xdr:pic>
      <xdr:nvPicPr>
        <xdr:cNvPr id="2" name="Grafik 1">
          <a:extLst>
            <a:ext uri="{FF2B5EF4-FFF2-40B4-BE49-F238E27FC236}">
              <a16:creationId xmlns:a16="http://schemas.microsoft.com/office/drawing/2014/main" id="{F8AD0CC5-3FBD-4371-A290-2E35153D8653}"/>
            </a:ext>
          </a:extLst>
        </xdr:cNvPr>
        <xdr:cNvPicPr>
          <a:picLocks noChangeAspect="1"/>
        </xdr:cNvPicPr>
      </xdr:nvPicPr>
      <xdr:blipFill>
        <a:blip xmlns:r="http://schemas.openxmlformats.org/officeDocument/2006/relationships" r:embed="rId1"/>
        <a:stretch>
          <a:fillRect/>
        </a:stretch>
      </xdr:blipFill>
      <xdr:spPr>
        <a:xfrm>
          <a:off x="1114425" y="7966129"/>
          <a:ext cx="6889425" cy="1110896"/>
        </a:xfrm>
        <a:prstGeom prst="rect">
          <a:avLst/>
        </a:prstGeom>
      </xdr:spPr>
    </xdr:pic>
    <xdr:clientData/>
  </xdr:twoCellAnchor>
  <xdr:twoCellAnchor editAs="oneCell">
    <xdr:from>
      <xdr:col>1</xdr:col>
      <xdr:colOff>0</xdr:colOff>
      <xdr:row>41</xdr:row>
      <xdr:rowOff>0</xdr:rowOff>
    </xdr:from>
    <xdr:to>
      <xdr:col>8</xdr:col>
      <xdr:colOff>139773</xdr:colOff>
      <xdr:row>47</xdr:row>
      <xdr:rowOff>66545</xdr:rowOff>
    </xdr:to>
    <xdr:pic>
      <xdr:nvPicPr>
        <xdr:cNvPr id="3" name="Grafik 2">
          <a:extLst>
            <a:ext uri="{FF2B5EF4-FFF2-40B4-BE49-F238E27FC236}">
              <a16:creationId xmlns:a16="http://schemas.microsoft.com/office/drawing/2014/main" id="{547B8656-DF2A-416E-90BB-E8BA708B3344}"/>
            </a:ext>
          </a:extLst>
        </xdr:cNvPr>
        <xdr:cNvPicPr>
          <a:picLocks noChangeAspect="1"/>
        </xdr:cNvPicPr>
      </xdr:nvPicPr>
      <xdr:blipFill>
        <a:blip xmlns:r="http://schemas.openxmlformats.org/officeDocument/2006/relationships" r:embed="rId2"/>
        <a:stretch>
          <a:fillRect/>
        </a:stretch>
      </xdr:blipFill>
      <xdr:spPr>
        <a:xfrm>
          <a:off x="600075" y="6696075"/>
          <a:ext cx="6733333" cy="1038095"/>
        </a:xfrm>
        <a:prstGeom prst="rect">
          <a:avLst/>
        </a:prstGeom>
      </xdr:spPr>
    </xdr:pic>
    <xdr:clientData/>
  </xdr:twoCellAnchor>
  <xdr:twoCellAnchor editAs="oneCell">
    <xdr:from>
      <xdr:col>1</xdr:col>
      <xdr:colOff>0</xdr:colOff>
      <xdr:row>58</xdr:row>
      <xdr:rowOff>0</xdr:rowOff>
    </xdr:from>
    <xdr:to>
      <xdr:col>8</xdr:col>
      <xdr:colOff>101678</xdr:colOff>
      <xdr:row>63</xdr:row>
      <xdr:rowOff>18946</xdr:rowOff>
    </xdr:to>
    <xdr:pic>
      <xdr:nvPicPr>
        <xdr:cNvPr id="5" name="Grafik 4">
          <a:extLst>
            <a:ext uri="{FF2B5EF4-FFF2-40B4-BE49-F238E27FC236}">
              <a16:creationId xmlns:a16="http://schemas.microsoft.com/office/drawing/2014/main" id="{16F7F556-0E49-4D0A-82C4-C055FC1037A4}"/>
            </a:ext>
          </a:extLst>
        </xdr:cNvPr>
        <xdr:cNvPicPr>
          <a:picLocks noChangeAspect="1"/>
        </xdr:cNvPicPr>
      </xdr:nvPicPr>
      <xdr:blipFill>
        <a:blip xmlns:r="http://schemas.openxmlformats.org/officeDocument/2006/relationships" r:embed="rId3"/>
        <a:stretch>
          <a:fillRect/>
        </a:stretch>
      </xdr:blipFill>
      <xdr:spPr>
        <a:xfrm>
          <a:off x="1495425" y="9448800"/>
          <a:ext cx="6695238" cy="828571"/>
        </a:xfrm>
        <a:prstGeom prst="rect">
          <a:avLst/>
        </a:prstGeom>
      </xdr:spPr>
    </xdr:pic>
    <xdr:clientData/>
  </xdr:twoCellAnchor>
  <xdr:twoCellAnchor editAs="oneCell">
    <xdr:from>
      <xdr:col>1</xdr:col>
      <xdr:colOff>0</xdr:colOff>
      <xdr:row>65</xdr:row>
      <xdr:rowOff>1</xdr:rowOff>
    </xdr:from>
    <xdr:to>
      <xdr:col>8</xdr:col>
      <xdr:colOff>142438</xdr:colOff>
      <xdr:row>70</xdr:row>
      <xdr:rowOff>48630</xdr:rowOff>
    </xdr:to>
    <xdr:pic>
      <xdr:nvPicPr>
        <xdr:cNvPr id="6" name="Grafik 5">
          <a:extLst>
            <a:ext uri="{FF2B5EF4-FFF2-40B4-BE49-F238E27FC236}">
              <a16:creationId xmlns:a16="http://schemas.microsoft.com/office/drawing/2014/main" id="{121833A8-19BF-4E64-B478-0B122F5F3EB1}"/>
            </a:ext>
          </a:extLst>
        </xdr:cNvPr>
        <xdr:cNvPicPr>
          <a:picLocks noChangeAspect="1"/>
        </xdr:cNvPicPr>
      </xdr:nvPicPr>
      <xdr:blipFill>
        <a:blip xmlns:r="http://schemas.openxmlformats.org/officeDocument/2006/relationships" r:embed="rId4"/>
        <a:stretch>
          <a:fillRect/>
        </a:stretch>
      </xdr:blipFill>
      <xdr:spPr>
        <a:xfrm>
          <a:off x="1495425" y="10582276"/>
          <a:ext cx="6735998" cy="858254"/>
        </a:xfrm>
        <a:prstGeom prst="rect">
          <a:avLst/>
        </a:prstGeom>
      </xdr:spPr>
    </xdr:pic>
    <xdr:clientData/>
  </xdr:twoCellAnchor>
  <xdr:twoCellAnchor editAs="oneCell">
    <xdr:from>
      <xdr:col>1</xdr:col>
      <xdr:colOff>0</xdr:colOff>
      <xdr:row>72</xdr:row>
      <xdr:rowOff>0</xdr:rowOff>
    </xdr:from>
    <xdr:to>
      <xdr:col>8</xdr:col>
      <xdr:colOff>64415</xdr:colOff>
      <xdr:row>79</xdr:row>
      <xdr:rowOff>140903</xdr:rowOff>
    </xdr:to>
    <xdr:pic>
      <xdr:nvPicPr>
        <xdr:cNvPr id="7" name="Grafik 6">
          <a:extLst>
            <a:ext uri="{FF2B5EF4-FFF2-40B4-BE49-F238E27FC236}">
              <a16:creationId xmlns:a16="http://schemas.microsoft.com/office/drawing/2014/main" id="{8F3ABD13-6B57-4612-A838-D134405E66F7}"/>
            </a:ext>
          </a:extLst>
        </xdr:cNvPr>
        <xdr:cNvPicPr>
          <a:picLocks noChangeAspect="1"/>
        </xdr:cNvPicPr>
      </xdr:nvPicPr>
      <xdr:blipFill>
        <a:blip xmlns:r="http://schemas.openxmlformats.org/officeDocument/2006/relationships" r:embed="rId5"/>
        <a:stretch>
          <a:fillRect/>
        </a:stretch>
      </xdr:blipFill>
      <xdr:spPr>
        <a:xfrm>
          <a:off x="1495425" y="11715750"/>
          <a:ext cx="6657975" cy="1274378"/>
        </a:xfrm>
        <a:prstGeom prst="rect">
          <a:avLst/>
        </a:prstGeom>
      </xdr:spPr>
    </xdr:pic>
    <xdr:clientData/>
  </xdr:twoCellAnchor>
  <xdr:twoCellAnchor editAs="oneCell">
    <xdr:from>
      <xdr:col>1</xdr:col>
      <xdr:colOff>19050</xdr:colOff>
      <xdr:row>82</xdr:row>
      <xdr:rowOff>28576</xdr:rowOff>
    </xdr:from>
    <xdr:to>
      <xdr:col>8</xdr:col>
      <xdr:colOff>48787</xdr:colOff>
      <xdr:row>87</xdr:row>
      <xdr:rowOff>77205</xdr:rowOff>
    </xdr:to>
    <xdr:pic>
      <xdr:nvPicPr>
        <xdr:cNvPr id="8" name="Grafik 7">
          <a:extLst>
            <a:ext uri="{FF2B5EF4-FFF2-40B4-BE49-F238E27FC236}">
              <a16:creationId xmlns:a16="http://schemas.microsoft.com/office/drawing/2014/main" id="{AE8F1674-FF37-4CFA-AF6D-225A08708548}"/>
            </a:ext>
          </a:extLst>
        </xdr:cNvPr>
        <xdr:cNvPicPr>
          <a:picLocks noChangeAspect="1"/>
        </xdr:cNvPicPr>
      </xdr:nvPicPr>
      <xdr:blipFill>
        <a:blip xmlns:r="http://schemas.openxmlformats.org/officeDocument/2006/relationships" r:embed="rId6"/>
        <a:stretch>
          <a:fillRect/>
        </a:stretch>
      </xdr:blipFill>
      <xdr:spPr>
        <a:xfrm>
          <a:off x="1514475" y="13363576"/>
          <a:ext cx="6623297" cy="858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gger Sebastian BAFU" refreshedDate="44977.474400810184" createdVersion="7" refreshedVersion="7" minRefreshableVersion="3" recordCount="152" xr:uid="{00000000-000A-0000-FFFF-FFFF01000000}">
  <cacheSource type="worksheet">
    <worksheetSource ref="B1:I1048576" sheet="Newsletter"/>
  </cacheSource>
  <cacheFields count="8">
    <cacheField name="NL_Ausgabe" numFmtId="0">
      <sharedItems containsString="0" containsBlank="1" containsNumber="1" containsInteger="1" minValue="2" maxValue="33" count="33">
        <n v="2"/>
        <n v="3"/>
        <n v="4"/>
        <n v="5"/>
        <n v="6"/>
        <n v="7"/>
        <n v="8"/>
        <n v="9"/>
        <n v="10"/>
        <n v="11"/>
        <n v="12"/>
        <n v="13"/>
        <n v="14"/>
        <n v="15"/>
        <n v="16"/>
        <n v="17"/>
        <n v="18"/>
        <n v="19"/>
        <n v="20"/>
        <n v="21"/>
        <n v="22"/>
        <n v="23"/>
        <n v="24"/>
        <n v="25"/>
        <n v="26"/>
        <n v="27"/>
        <n v="28"/>
        <n v="29"/>
        <n v="30"/>
        <n v="31"/>
        <n v="32"/>
        <n v="33"/>
        <m/>
      </sharedItems>
    </cacheField>
    <cacheField name="NL_Jahr" numFmtId="0">
      <sharedItems containsString="0" containsBlank="1" containsNumber="1" containsInteger="1" minValue="2015" maxValue="2023"/>
    </cacheField>
    <cacheField name="NL_Monat" numFmtId="0">
      <sharedItems containsBlank="1"/>
    </cacheField>
    <cacheField name="Zeitraum_A" numFmtId="14">
      <sharedItems containsNonDate="0" containsDate="1" containsString="0" containsBlank="1" minDate="2014-11-01T00:00:00" maxDate="2022-07-16T00:00:00"/>
    </cacheField>
    <cacheField name="Zeitraum_E" numFmtId="14">
      <sharedItems containsNonDate="0" containsDate="1" containsString="0" containsBlank="1" minDate="2015-01-31T00:00:00" maxDate="2022-10-16T00:00:00"/>
    </cacheField>
    <cacheField name="Anzahl_Studien_identifiziert" numFmtId="0">
      <sharedItems containsString="0" containsBlank="1" containsNumber="1" containsInteger="1" minValue="57" maxValue="129"/>
    </cacheField>
    <cacheField name="Anzahl_Studien_diskutiert" numFmtId="0">
      <sharedItems containsString="0" containsBlank="1" containsNumber="1" containsInteger="1" minValue="4" maxValue="15"/>
    </cacheField>
    <cacheField name="Anzahl_Studien_ausgewählt" numFmtId="0">
      <sharedItems containsString="0" containsBlank="1"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2"/>
    <n v="2015"/>
    <s v="Dezember"/>
    <d v="2015-05-01T00:00:00"/>
    <d v="2015-07-31T00:00:00"/>
    <n v="94"/>
    <n v="12"/>
    <n v="4"/>
  </r>
  <r>
    <x v="2"/>
    <n v="2015"/>
    <s v="Dezember"/>
    <d v="2015-05-01T00:00:00"/>
    <d v="2015-07-31T00:00:00"/>
    <n v="94"/>
    <n v="12"/>
    <n v="4"/>
  </r>
  <r>
    <x v="2"/>
    <n v="2015"/>
    <s v="Dezember"/>
    <d v="2015-05-01T00:00:00"/>
    <d v="2015-07-31T00:00:00"/>
    <n v="94"/>
    <n v="12"/>
    <n v="4"/>
  </r>
  <r>
    <x v="2"/>
    <n v="2015"/>
    <s v="Dezember"/>
    <d v="2015-05-01T00:00:00"/>
    <d v="2015-07-31T00:00:00"/>
    <n v="94"/>
    <n v="12"/>
    <n v="4"/>
  </r>
  <r>
    <x v="3"/>
    <n v="2016"/>
    <s v="März"/>
    <d v="2015-07-01T00:00:00"/>
    <d v="2015-10-31T00:00:00"/>
    <n v="89"/>
    <n v="14"/>
    <n v="4"/>
  </r>
  <r>
    <x v="3"/>
    <n v="2016"/>
    <s v="März"/>
    <d v="2015-07-01T00:00:00"/>
    <d v="2015-10-31T00:00:00"/>
    <n v="89"/>
    <n v="14"/>
    <n v="4"/>
  </r>
  <r>
    <x v="3"/>
    <n v="2016"/>
    <s v="März"/>
    <d v="2015-07-01T00:00:00"/>
    <d v="2015-10-31T00:00:00"/>
    <n v="89"/>
    <n v="14"/>
    <n v="4"/>
  </r>
  <r>
    <x v="3"/>
    <n v="2016"/>
    <s v="März"/>
    <d v="2015-07-01T00:00:00"/>
    <d v="2015-10-31T00:00:00"/>
    <n v="89"/>
    <n v="14"/>
    <n v="4"/>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6"/>
    <n v="2016"/>
    <s v="Dezember"/>
    <d v="2016-04-01T00:00:00"/>
    <d v="2016-08-31T00:00:00"/>
    <n v="129"/>
    <n v="9"/>
    <n v="4"/>
  </r>
  <r>
    <x v="6"/>
    <n v="2016"/>
    <s v="Dezember"/>
    <d v="2016-04-01T00:00:00"/>
    <d v="2016-08-31T00:00:00"/>
    <n v="129"/>
    <n v="9"/>
    <n v="4"/>
  </r>
  <r>
    <x v="6"/>
    <n v="2016"/>
    <s v="Dezember"/>
    <d v="2016-04-01T00:00:00"/>
    <d v="2016-08-31T00:00:00"/>
    <n v="129"/>
    <n v="9"/>
    <n v="4"/>
  </r>
  <r>
    <x v="6"/>
    <n v="2016"/>
    <s v="Dezember"/>
    <d v="2016-04-01T00:00:00"/>
    <d v="2016-08-31T00:00:00"/>
    <n v="129"/>
    <n v="9"/>
    <n v="4"/>
  </r>
  <r>
    <x v="7"/>
    <n v="2017"/>
    <s v="März"/>
    <d v="2016-08-01T00:00:00"/>
    <d v="2016-10-31T00:00:00"/>
    <n v="79"/>
    <n v="8"/>
    <n v="4"/>
  </r>
  <r>
    <x v="7"/>
    <n v="2017"/>
    <s v="März"/>
    <d v="2016-08-01T00:00:00"/>
    <d v="2016-10-31T00:00:00"/>
    <n v="79"/>
    <n v="8"/>
    <n v="4"/>
  </r>
  <r>
    <x v="7"/>
    <n v="2017"/>
    <s v="März"/>
    <d v="2016-08-01T00:00:00"/>
    <d v="2016-10-31T00:00:00"/>
    <n v="79"/>
    <n v="8"/>
    <n v="4"/>
  </r>
  <r>
    <x v="7"/>
    <n v="2017"/>
    <s v="März"/>
    <d v="2016-08-01T00:00:00"/>
    <d v="2016-10-31T00:00:00"/>
    <n v="79"/>
    <n v="8"/>
    <n v="4"/>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10"/>
    <n v="2017"/>
    <s v="Dezember"/>
    <d v="2017-05-15T00:00:00"/>
    <d v="2017-07-31T00:00:00"/>
    <n v="62"/>
    <n v="7"/>
    <n v="4"/>
  </r>
  <r>
    <x v="10"/>
    <n v="2017"/>
    <s v="Dezember"/>
    <d v="2017-05-15T00:00:00"/>
    <d v="2017-07-31T00:00:00"/>
    <n v="62"/>
    <n v="7"/>
    <n v="4"/>
  </r>
  <r>
    <x v="10"/>
    <n v="2017"/>
    <s v="Dezember"/>
    <d v="2017-05-15T00:00:00"/>
    <d v="2017-07-31T00:00:00"/>
    <n v="62"/>
    <n v="7"/>
    <n v="4"/>
  </r>
  <r>
    <x v="10"/>
    <n v="2017"/>
    <s v="Dezember"/>
    <d v="2017-05-15T00:00:00"/>
    <d v="2017-07-31T00:00:00"/>
    <n v="62"/>
    <n v="7"/>
    <n v="4"/>
  </r>
  <r>
    <x v="11"/>
    <n v="2018"/>
    <s v="März"/>
    <d v="2017-07-31T00:00:00"/>
    <d v="2017-11-01T00:00:00"/>
    <n v="95"/>
    <n v="11"/>
    <n v="4"/>
  </r>
  <r>
    <x v="11"/>
    <n v="2018"/>
    <s v="März"/>
    <d v="2017-07-31T00:00:00"/>
    <d v="2017-11-01T00:00:00"/>
    <n v="95"/>
    <n v="11"/>
    <n v="4"/>
  </r>
  <r>
    <x v="11"/>
    <n v="2018"/>
    <s v="März"/>
    <d v="2017-07-31T00:00:00"/>
    <d v="2017-11-01T00:00:00"/>
    <n v="95"/>
    <n v="11"/>
    <n v="4"/>
  </r>
  <r>
    <x v="11"/>
    <n v="2018"/>
    <s v="März"/>
    <d v="2017-07-31T00:00:00"/>
    <d v="2017-11-01T00:00:00"/>
    <n v="95"/>
    <n v="11"/>
    <n v="4"/>
  </r>
  <r>
    <x v="12"/>
    <n v="2018"/>
    <s v="Juni"/>
    <d v="2017-11-01T00:00:00"/>
    <d v="2018-01-15T00:00:00"/>
    <n v="65"/>
    <n v="8"/>
    <n v="3"/>
  </r>
  <r>
    <x v="12"/>
    <n v="2018"/>
    <s v="Juni"/>
    <d v="2017-11-01T00:00:00"/>
    <d v="2018-01-15T00:00:00"/>
    <n v="65"/>
    <n v="8"/>
    <n v="3"/>
  </r>
  <r>
    <x v="12"/>
    <n v="2018"/>
    <s v="Juni"/>
    <d v="2017-11-01T00:00:00"/>
    <d v="2018-01-15T00:00:00"/>
    <n v="65"/>
    <n v="8"/>
    <n v="3"/>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4"/>
    <n v="2019"/>
    <s v="April"/>
    <d v="2018-04-30T00:00:00"/>
    <d v="2018-08-01T00:00:00"/>
    <n v="57"/>
    <n v="8"/>
    <n v="3"/>
  </r>
  <r>
    <x v="14"/>
    <n v="2019"/>
    <s v="April"/>
    <d v="2018-04-30T00:00:00"/>
    <d v="2018-08-01T00:00:00"/>
    <n v="57"/>
    <n v="8"/>
    <n v="3"/>
  </r>
  <r>
    <x v="14"/>
    <n v="2019"/>
    <s v="April"/>
    <d v="2018-04-30T00:00:00"/>
    <d v="2018-08-01T00:00:00"/>
    <n v="57"/>
    <n v="8"/>
    <n v="3"/>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9"/>
    <n v="2020"/>
    <s v="Juni"/>
    <d v="2019-08-01T00:00:00"/>
    <d v="2019-10-31T00:00:00"/>
    <n v="84"/>
    <n v="8"/>
    <n v="3"/>
  </r>
  <r>
    <x v="19"/>
    <n v="2020"/>
    <s v="Juni"/>
    <d v="2019-08-01T00:00:00"/>
    <d v="2019-10-31T00:00:00"/>
    <n v="84"/>
    <n v="8"/>
    <n v="3"/>
  </r>
  <r>
    <x v="19"/>
    <n v="2020"/>
    <s v="Juni"/>
    <d v="2019-08-01T00:00:00"/>
    <d v="2019-10-31T00:00:00"/>
    <n v="84"/>
    <n v="8"/>
    <n v="3"/>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2"/>
    <n v="2021"/>
    <s v="März"/>
    <d v="2020-05-01T00:00:00"/>
    <d v="2020-07-15T00:00:00"/>
    <n v="65"/>
    <n v="7"/>
    <n v="3"/>
  </r>
  <r>
    <x v="22"/>
    <n v="2021"/>
    <s v="März"/>
    <d v="2020-05-01T00:00:00"/>
    <d v="2020-07-15T00:00:00"/>
    <n v="65"/>
    <n v="7"/>
    <n v="3"/>
  </r>
  <r>
    <x v="22"/>
    <n v="2021"/>
    <s v="März"/>
    <d v="2020-05-01T00:00:00"/>
    <d v="2020-07-15T00:00:00"/>
    <n v="65"/>
    <n v="7"/>
    <n v="3"/>
  </r>
  <r>
    <x v="23"/>
    <n v="2021"/>
    <s v="Mai"/>
    <d v="2020-07-15T00:00:00"/>
    <d v="2020-10-15T00:00:00"/>
    <n v="108"/>
    <n v="8"/>
    <n v="3"/>
  </r>
  <r>
    <x v="23"/>
    <n v="2021"/>
    <s v="Mai"/>
    <d v="2020-07-15T00:00:00"/>
    <d v="2020-10-15T00:00:00"/>
    <n v="108"/>
    <n v="8"/>
    <n v="3"/>
  </r>
  <r>
    <x v="23"/>
    <n v="2021"/>
    <s v="Mai"/>
    <d v="2020-07-15T00:00:00"/>
    <d v="2020-10-15T00:00:00"/>
    <n v="108"/>
    <n v="8"/>
    <n v="3"/>
  </r>
  <r>
    <x v="24"/>
    <n v="2021"/>
    <s v="September"/>
    <d v="2020-10-15T00:00:00"/>
    <d v="2021-02-01T00:00:00"/>
    <n v="122"/>
    <n v="6"/>
    <n v="4"/>
  </r>
  <r>
    <x v="24"/>
    <n v="2021"/>
    <s v="September"/>
    <d v="2020-10-15T00:00:00"/>
    <d v="2021-02-01T00:00:00"/>
    <n v="122"/>
    <n v="6"/>
    <n v="4"/>
  </r>
  <r>
    <x v="24"/>
    <n v="2021"/>
    <s v="September"/>
    <d v="2020-10-15T00:00:00"/>
    <d v="2021-02-01T00:00:00"/>
    <n v="122"/>
    <n v="6"/>
    <n v="4"/>
  </r>
  <r>
    <x v="24"/>
    <n v="2021"/>
    <s v="September"/>
    <d v="2020-10-15T00:00:00"/>
    <d v="2021-02-01T00:00:00"/>
    <n v="122"/>
    <n v="6"/>
    <n v="4"/>
  </r>
  <r>
    <x v="25"/>
    <n v="2021"/>
    <s v="Dezember"/>
    <d v="2021-02-01T00:00:00"/>
    <d v="2021-04-30T00:00:00"/>
    <n v="88"/>
    <n v="6"/>
    <n v="4"/>
  </r>
  <r>
    <x v="25"/>
    <n v="2021"/>
    <s v="Dezember"/>
    <d v="2021-02-01T00:00:00"/>
    <d v="2021-04-30T00:00:00"/>
    <n v="88"/>
    <n v="6"/>
    <n v="4"/>
  </r>
  <r>
    <x v="25"/>
    <n v="2021"/>
    <s v="Dezember"/>
    <d v="2021-02-01T00:00:00"/>
    <d v="2021-04-30T00:00:00"/>
    <n v="88"/>
    <n v="6"/>
    <n v="4"/>
  </r>
  <r>
    <x v="25"/>
    <n v="2021"/>
    <s v="Dezember"/>
    <d v="2021-02-01T00:00:00"/>
    <d v="2021-04-30T00:00:00"/>
    <n v="88"/>
    <n v="6"/>
    <n v="4"/>
  </r>
  <r>
    <x v="26"/>
    <n v="2022"/>
    <s v="März"/>
    <d v="2021-05-01T00:00:00"/>
    <d v="2021-07-31T00:00:00"/>
    <n v="106"/>
    <n v="6"/>
    <n v="3"/>
  </r>
  <r>
    <x v="26"/>
    <n v="2022"/>
    <s v="März"/>
    <d v="2021-05-01T00:00:00"/>
    <d v="2021-07-31T00:00:00"/>
    <n v="106"/>
    <n v="6"/>
    <n v="3"/>
  </r>
  <r>
    <x v="26"/>
    <n v="2022"/>
    <s v="März"/>
    <d v="2021-05-01T00:00:00"/>
    <d v="2021-07-31T00:00:00"/>
    <n v="106"/>
    <n v="6"/>
    <n v="3"/>
  </r>
  <r>
    <x v="27"/>
    <n v="2022"/>
    <s v="Juni"/>
    <d v="2021-08-01T00:00:00"/>
    <d v="2021-10-15T00:00:00"/>
    <n v="82"/>
    <n v="6"/>
    <n v="4"/>
  </r>
  <r>
    <x v="27"/>
    <n v="2022"/>
    <s v="Juni"/>
    <d v="2021-08-01T00:00:00"/>
    <d v="2021-10-15T00:00:00"/>
    <n v="82"/>
    <n v="6"/>
    <n v="4"/>
  </r>
  <r>
    <x v="27"/>
    <n v="2022"/>
    <s v="Juni"/>
    <d v="2021-08-01T00:00:00"/>
    <d v="2021-10-15T00:00:00"/>
    <n v="82"/>
    <n v="6"/>
    <n v="4"/>
  </r>
  <r>
    <x v="27"/>
    <n v="2022"/>
    <s v="Juni"/>
    <d v="2021-08-01T00:00:00"/>
    <d v="2021-10-15T00:00:00"/>
    <n v="82"/>
    <n v="6"/>
    <n v="4"/>
  </r>
  <r>
    <x v="28"/>
    <n v="2022"/>
    <s v="September"/>
    <d v="2021-10-15T00:00:00"/>
    <d v="2022-01-15T00:00:00"/>
    <n v="123"/>
    <n v="8"/>
    <n v="4"/>
  </r>
  <r>
    <x v="28"/>
    <n v="2022"/>
    <s v="September"/>
    <d v="2021-10-15T00:00:00"/>
    <d v="2022-01-15T00:00:00"/>
    <n v="123"/>
    <n v="8"/>
    <n v="4"/>
  </r>
  <r>
    <x v="28"/>
    <n v="2022"/>
    <s v="September"/>
    <d v="2021-10-15T00:00:00"/>
    <d v="2022-01-15T00:00:00"/>
    <n v="123"/>
    <n v="8"/>
    <n v="4"/>
  </r>
  <r>
    <x v="28"/>
    <n v="2022"/>
    <s v="September"/>
    <d v="2021-10-15T00:00:00"/>
    <d v="2022-01-15T00:00:00"/>
    <n v="123"/>
    <n v="8"/>
    <n v="4"/>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30"/>
    <n v="2023"/>
    <s v="März"/>
    <d v="2022-04-15T00:00:00"/>
    <d v="2022-07-15T00:00:00"/>
    <n v="128"/>
    <n v="4"/>
    <n v="2"/>
  </r>
  <r>
    <x v="30"/>
    <n v="2023"/>
    <s v="März"/>
    <d v="2022-04-15T00:00:00"/>
    <d v="2022-07-15T00:00:00"/>
    <n v="128"/>
    <n v="4"/>
    <n v="2"/>
  </r>
  <r>
    <x v="31"/>
    <n v="2023"/>
    <s v="Juni"/>
    <d v="2022-07-15T00:00:00"/>
    <d v="2022-10-15T00:00:00"/>
    <n v="115"/>
    <n v="6"/>
    <n v="3"/>
  </r>
  <r>
    <x v="31"/>
    <n v="2023"/>
    <s v="Juni"/>
    <d v="2022-07-15T00:00:00"/>
    <d v="2022-10-15T00:00:00"/>
    <n v="115"/>
    <n v="6"/>
    <n v="3"/>
  </r>
  <r>
    <x v="31"/>
    <n v="2023"/>
    <s v="Juni"/>
    <d v="2022-07-15T00:00:00"/>
    <d v="2022-10-15T00:00:00"/>
    <n v="115"/>
    <n v="6"/>
    <n v="3"/>
  </r>
  <r>
    <x v="3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1:D35" firstHeaderRow="0" firstDataRow="1" firstDataCol="1"/>
  <pivotFields count="8">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dataField="1" showAll="0"/>
    <pivotField dataField="1" showAll="0"/>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i="1">
      <x v="1"/>
    </i>
    <i i="2">
      <x v="2"/>
    </i>
  </colItems>
  <dataFields count="3">
    <dataField name="Anz_Studien_identifiziert" fld="5" subtotal="average" baseField="0" baseItem="0"/>
    <dataField name="Anz_Studien_diskutiert" fld="6" subtotal="average" baseField="0" baseItem="0"/>
    <dataField name="Anz_Studien_ausgewählt" fld="7" subtotal="average" baseField="0" baseItem="0"/>
  </dataFields>
  <formats count="16">
    <format dxfId="15">
      <pivotArea collapsedLevelsAreSubtotals="1" fieldPosition="0">
        <references count="1">
          <reference field="0" count="2">
            <x v="4"/>
            <x v="5"/>
          </reference>
        </references>
      </pivotArea>
    </format>
    <format dxfId="14">
      <pivotArea dataOnly="0" labelOnly="1" fieldPosition="0">
        <references count="1">
          <reference field="0" count="2">
            <x v="4"/>
            <x v="5"/>
          </reference>
        </references>
      </pivotArea>
    </format>
    <format dxfId="13">
      <pivotArea collapsedLevelsAreSubtotals="1" fieldPosition="0">
        <references count="1">
          <reference field="0" count="1">
            <x v="24"/>
          </reference>
        </references>
      </pivotArea>
    </format>
    <format dxfId="12">
      <pivotArea dataOnly="0" labelOnly="1" fieldPosition="0">
        <references count="1">
          <reference field="0" count="1">
            <x v="24"/>
          </reference>
        </references>
      </pivotArea>
    </format>
    <format dxfId="11">
      <pivotArea collapsedLevelsAreSubtotals="1" fieldPosition="0">
        <references count="1">
          <reference field="0" count="2">
            <x v="26"/>
            <x v="27"/>
          </reference>
        </references>
      </pivotArea>
    </format>
    <format dxfId="10">
      <pivotArea dataOnly="0" labelOnly="1" fieldPosition="0">
        <references count="1">
          <reference field="0" count="2">
            <x v="26"/>
            <x v="27"/>
          </reference>
        </references>
      </pivotArea>
    </format>
    <format dxfId="9">
      <pivotArea collapsedLevelsAreSubtotals="1" fieldPosition="0">
        <references count="1">
          <reference field="0" count="1">
            <x v="15"/>
          </reference>
        </references>
      </pivotArea>
    </format>
    <format dxfId="8">
      <pivotArea dataOnly="0" labelOnly="1" fieldPosition="0">
        <references count="1">
          <reference field="0" count="1">
            <x v="15"/>
          </reference>
        </references>
      </pivotArea>
    </format>
    <format dxfId="7">
      <pivotArea collapsedLevelsAreSubtotals="1" fieldPosition="0">
        <references count="1">
          <reference field="0" count="1">
            <x v="11"/>
          </reference>
        </references>
      </pivotArea>
    </format>
    <format dxfId="6">
      <pivotArea dataOnly="0" labelOnly="1" fieldPosition="0">
        <references count="1">
          <reference field="0" count="1">
            <x v="11"/>
          </reference>
        </references>
      </pivotArea>
    </format>
    <format dxfId="5">
      <pivotArea collapsedLevelsAreSubtotals="1" fieldPosition="0">
        <references count="2">
          <reference field="4294967294" count="2" selected="0">
            <x v="0"/>
            <x v="1"/>
          </reference>
          <reference field="0" count="1">
            <x v="5"/>
          </reference>
        </references>
      </pivotArea>
    </format>
    <format dxfId="4">
      <pivotArea collapsedLevelsAreSubtotals="1" fieldPosition="0">
        <references count="2">
          <reference field="4294967294" count="1" selected="0">
            <x v="2"/>
          </reference>
          <reference field="0" count="1">
            <x v="4"/>
          </reference>
        </references>
      </pivotArea>
    </format>
    <format dxfId="3">
      <pivotArea collapsedLevelsAreSubtotals="1" fieldPosition="0">
        <references count="2">
          <reference field="4294967294" count="1" selected="0">
            <x v="2"/>
          </reference>
          <reference field="0" count="1">
            <x v="15"/>
          </reference>
        </references>
      </pivotArea>
    </format>
    <format dxfId="2">
      <pivotArea collapsedLevelsAreSubtotals="1" fieldPosition="0">
        <references count="2">
          <reference field="4294967294" count="2" selected="0">
            <x v="1"/>
            <x v="2"/>
          </reference>
          <reference field="0" count="1">
            <x v="24"/>
          </reference>
        </references>
      </pivotArea>
    </format>
    <format dxfId="1">
      <pivotArea collapsedLevelsAreSubtotals="1" fieldPosition="0">
        <references count="2">
          <reference field="4294967294" count="1" selected="0">
            <x v="2"/>
          </reference>
          <reference field="0" count="2">
            <x v="26"/>
            <x v="27"/>
          </reference>
        </references>
      </pivotArea>
    </format>
    <format dxfId="0">
      <pivotArea collapsedLevelsAreSubtotals="1" fieldPosition="0">
        <references count="2">
          <reference field="4294967294" count="1" selected="0">
            <x v="0"/>
          </reference>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afu.admin.ch/dam/bafu/en/dokumente/elektrosmog/fachinfo-daten/newsletter_berenis_n30.pdf.download.pdf/Newsletter_BERENIS_Nr._30_-_ENGLISH.pdf" TargetMode="External"/><Relationship Id="rId18" Type="http://schemas.openxmlformats.org/officeDocument/2006/relationships/hyperlink" Target="https://www.bafu.admin.ch/dam/bafu/en/dokumente/elektrosmog/fachinfo-daten/newsletter-berenis-nr-32.pdf.download.pdf/Newsletter%20BERENIS%20Nr.%2031%20-%20ENGLISH.pdf" TargetMode="External"/><Relationship Id="rId26" Type="http://schemas.openxmlformats.org/officeDocument/2006/relationships/hyperlink" Target="https://pubmed.ncbi.nlm.nih.gov/35260711/" TargetMode="External"/><Relationship Id="rId3" Type="http://schemas.openxmlformats.org/officeDocument/2006/relationships/hyperlink" Target="https://pubmed.ncbi.nlm.nih.gov/33166026/" TargetMode="External"/><Relationship Id="rId21" Type="http://schemas.openxmlformats.org/officeDocument/2006/relationships/hyperlink" Target="https://pubmed.ncbi.nlm.nih.gov/34974237/" TargetMode="External"/><Relationship Id="rId34" Type="http://schemas.openxmlformats.org/officeDocument/2006/relationships/vmlDrawing" Target="../drawings/vmlDrawing1.vml"/><Relationship Id="rId7" Type="http://schemas.openxmlformats.org/officeDocument/2006/relationships/hyperlink" Target="https://www.bafu.admin.ch/dam/bafu/de/dokumente/elektrosmog/fachinfo-daten/newsletter_berenis_n30.pdf.download.pdf/Newsletter_BERENIS_Nr._30_-_DEUTSCH.pdf" TargetMode="External"/><Relationship Id="rId12" Type="http://schemas.openxmlformats.org/officeDocument/2006/relationships/hyperlink" Target="https://www.bafu.admin.ch/dam/bafu/en/dokumente/elektrosmog/fachinfo-daten/newsletter_berenis_n30.pdf.download.pdf/Newsletter_BERENIS_Nr._30_-_ENGLISH.pdf" TargetMode="External"/><Relationship Id="rId17" Type="http://schemas.openxmlformats.org/officeDocument/2006/relationships/hyperlink" Target="https://www.bafu.admin.ch/dam/bafu/fr/dokumente/elektrosmog/fachinfo-daten/newsletter-berenis-nr-32.pdf.download.pdf/Newsletter%20BERENIS%20Nr.%2031%20-%20FRANZOESISCH.pdf" TargetMode="External"/><Relationship Id="rId25" Type="http://schemas.openxmlformats.org/officeDocument/2006/relationships/hyperlink" Target="https://pubmed.ncbi.nlm.nih.gov/35241689/" TargetMode="External"/><Relationship Id="rId33" Type="http://schemas.openxmlformats.org/officeDocument/2006/relationships/printerSettings" Target="../printerSettings/printerSettings1.bin"/><Relationship Id="rId2" Type="http://schemas.openxmlformats.org/officeDocument/2006/relationships/hyperlink" Target="https://pubmed.ncbi.nlm.nih.gov/33285159/" TargetMode="External"/><Relationship Id="rId16" Type="http://schemas.openxmlformats.org/officeDocument/2006/relationships/hyperlink" Target="https://www.bafu.admin.ch/dam/bafu/fr/dokumente/elektrosmog/fachinfo-daten/newsletter-berenis-nr-32.pdf.download.pdf/Newsletter%20BERENIS%20Nr.%2031%20-%20FRANZOESISCH.pdf" TargetMode="External"/><Relationship Id="rId20" Type="http://schemas.openxmlformats.org/officeDocument/2006/relationships/hyperlink" Target="https://pubmed.ncbi.nlm.nih.gov/34794024/" TargetMode="External"/><Relationship Id="rId29" Type="http://schemas.openxmlformats.org/officeDocument/2006/relationships/hyperlink" Target="https://www.ncbi.nlm.nih.gov/pubmed/28234898" TargetMode="External"/><Relationship Id="rId1" Type="http://schemas.openxmlformats.org/officeDocument/2006/relationships/hyperlink" Target="https://www.ncbi.nlm.nih.gov/pubmed/31351122" TargetMode="External"/><Relationship Id="rId6" Type="http://schemas.openxmlformats.org/officeDocument/2006/relationships/hyperlink" Target="https://www.ncbi.nlm.nih.gov/pubmed/32014649" TargetMode="External"/><Relationship Id="rId11" Type="http://schemas.openxmlformats.org/officeDocument/2006/relationships/hyperlink" Target="https://www.bafu.admin.ch/dam/bafu/fr/dokumente/elektrosmog/fachinfo-daten/newsletter-berenis-nr-28-maerz2022.pdf.download.pdf/Newsletter%20BERENIS%20Nr.%2028%20-%20FRANCAIS.pdf" TargetMode="External"/><Relationship Id="rId24" Type="http://schemas.openxmlformats.org/officeDocument/2006/relationships/hyperlink" Target="https://pubmed.ncbi.nlm.nih.gov/35200397/" TargetMode="External"/><Relationship Id="rId32" Type="http://schemas.openxmlformats.org/officeDocument/2006/relationships/hyperlink" Target="https://pubmed.ncbi.nlm.nih.gov/33828192/" TargetMode="External"/><Relationship Id="rId5" Type="http://schemas.openxmlformats.org/officeDocument/2006/relationships/hyperlink" Target="https://www.ncbi.nlm.nih.gov/pubmed/32408065" TargetMode="External"/><Relationship Id="rId15" Type="http://schemas.openxmlformats.org/officeDocument/2006/relationships/hyperlink" Target="https://www.bafu.admin.ch/dam/bafu/de/dokumente/elektrosmog/fachinfo-daten/newsletter-berenis-nr-32.pdf.download.pdf/Newsletter%20BERENIS%20Nr.%2031%20-%20DEUTSCH.pdf" TargetMode="External"/><Relationship Id="rId23" Type="http://schemas.openxmlformats.org/officeDocument/2006/relationships/hyperlink" Target="https://pubmed.ncbi.nlm.nih.gov/34797205/" TargetMode="External"/><Relationship Id="rId28" Type="http://schemas.openxmlformats.org/officeDocument/2006/relationships/hyperlink" Target="https://pubmed.ncbi.nlm.nih.gov/35096727/" TargetMode="External"/><Relationship Id="rId10" Type="http://schemas.openxmlformats.org/officeDocument/2006/relationships/hyperlink" Target="https://www.bafu.admin.ch/dam/bafu/fr/dokumente/elektrosmog/fachinfo-daten/newsletter_berenis_n30.pdf.download.pdf/newsletter_berenis_n30.pdf" TargetMode="External"/><Relationship Id="rId19" Type="http://schemas.openxmlformats.org/officeDocument/2006/relationships/hyperlink" Target="https://www.bafu.admin.ch/dam/bafu/en/dokumente/elektrosmog/fachinfo-daten/newsletter-berenis-nr-32.pdf.download.pdf/Newsletter%20BERENIS%20Nr.%2031%20-%20ENGLISH.pdf" TargetMode="External"/><Relationship Id="rId31" Type="http://schemas.openxmlformats.org/officeDocument/2006/relationships/hyperlink" Target="https://pubmed.ncbi.nlm.nih.gov/33608552/" TargetMode="External"/><Relationship Id="rId4" Type="http://schemas.openxmlformats.org/officeDocument/2006/relationships/hyperlink" Target="https://pubmed.ncbi.nlm.nih.gov/32931791/" TargetMode="External"/><Relationship Id="rId9" Type="http://schemas.openxmlformats.org/officeDocument/2006/relationships/hyperlink" Target="https://www.bafu.admin.ch/dam/bafu/fr/dokumente/elektrosmog/fachinfo-daten/newsletter_berenis_n30.pdf.download.pdf/newsletter_berenis_n30.pdf" TargetMode="External"/><Relationship Id="rId14" Type="http://schemas.openxmlformats.org/officeDocument/2006/relationships/hyperlink" Target="https://www.bafu.admin.ch/dam/bafu/de/dokumente/elektrosmog/fachinfo-daten/newsletter-berenis-nr-32.pdf.download.pdf/Newsletter%20BERENIS%20Nr.%2031%20-%20DEUTSCH.pdf" TargetMode="External"/><Relationship Id="rId22" Type="http://schemas.openxmlformats.org/officeDocument/2006/relationships/hyperlink" Target="https://pubmed.ncbi.nlm.nih.gov/34862418/" TargetMode="External"/><Relationship Id="rId27" Type="http://schemas.openxmlformats.org/officeDocument/2006/relationships/hyperlink" Target="https://pubmed.ncbi.nlm.nih.gov/35350069/" TargetMode="External"/><Relationship Id="rId30" Type="http://schemas.openxmlformats.org/officeDocument/2006/relationships/hyperlink" Target="https://www.ncbi.nlm.nih.gov/pubmed/28266526" TargetMode="External"/><Relationship Id="rId35" Type="http://schemas.openxmlformats.org/officeDocument/2006/relationships/comments" Target="../comments1.xml"/><Relationship Id="rId8" Type="http://schemas.openxmlformats.org/officeDocument/2006/relationships/hyperlink" Target="https://www.bafu.admin.ch/dam/bafu/de/dokumente/elektrosmog/fachinfo-daten/newsletter_berenis_n30.pdf.download.pdf/Newsletter_BERENIS_Nr._30_-_DEUTSCH.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99"/>
  </sheetPr>
  <dimension ref="A1:AM171"/>
  <sheetViews>
    <sheetView topLeftCell="AA1" zoomScaleNormal="100" workbookViewId="0">
      <pane ySplit="1" topLeftCell="A128" activePane="bottomLeft" state="frozen"/>
      <selection activeCell="X1" sqref="X1"/>
      <selection pane="bottomLeft" activeCell="V158" sqref="V158"/>
    </sheetView>
  </sheetViews>
  <sheetFormatPr baseColWidth="10" defaultColWidth="11.42578125" defaultRowHeight="12" x14ac:dyDescent="0.2"/>
  <cols>
    <col min="1" max="1" width="9.85546875" style="23" customWidth="1"/>
    <col min="2" max="2" width="13.42578125" style="3" customWidth="1"/>
    <col min="3" max="3" width="10.5703125" style="3" customWidth="1"/>
    <col min="4" max="4" width="12.140625" style="3" customWidth="1"/>
    <col min="5" max="5" width="13.42578125" style="20" customWidth="1"/>
    <col min="6" max="6" width="13.140625" style="20" customWidth="1"/>
    <col min="7" max="8" width="14" style="3" customWidth="1"/>
    <col min="9" max="10" width="18.28515625" style="3" customWidth="1"/>
    <col min="11" max="11" width="15.85546875" style="5" customWidth="1"/>
    <col min="12" max="12" width="25.5703125" style="5" customWidth="1"/>
    <col min="13" max="13" width="16.140625" style="5" customWidth="1"/>
    <col min="14" max="14" width="22.140625" style="5" customWidth="1"/>
    <col min="15" max="15" width="18.7109375" style="5" customWidth="1"/>
    <col min="16" max="16" width="24.42578125" style="5" customWidth="1"/>
    <col min="17" max="17" width="11.42578125" style="3"/>
    <col min="18" max="18" width="11.42578125" style="3" customWidth="1"/>
    <col min="19" max="19" width="8.85546875" style="3" customWidth="1"/>
    <col min="20" max="20" width="13.5703125" style="1" customWidth="1"/>
    <col min="21" max="21" width="19.7109375" style="1" customWidth="1"/>
    <col min="22" max="22" width="19.85546875" style="1" customWidth="1"/>
    <col min="23" max="23" width="11.42578125" style="1"/>
    <col min="24" max="24" width="13.28515625" style="1" customWidth="1"/>
    <col min="25" max="25" width="18.7109375" style="1" customWidth="1"/>
    <col min="26" max="26" width="30.85546875" style="2" bestFit="1" customWidth="1"/>
    <col min="27" max="27" width="34.42578125" style="2" customWidth="1"/>
    <col min="28" max="28" width="33" style="2" customWidth="1"/>
    <col min="29" max="29" width="27.7109375" style="2" customWidth="1"/>
    <col min="30" max="30" width="28.85546875" style="2" customWidth="1"/>
    <col min="31" max="31" width="28.28515625" style="2" customWidth="1"/>
    <col min="32" max="33" width="24.5703125" style="2" customWidth="1"/>
    <col min="34" max="34" width="28.85546875" style="53" customWidth="1"/>
    <col min="35" max="16384" width="11.42578125" style="4"/>
  </cols>
  <sheetData>
    <row r="1" spans="1:34" s="18" customFormat="1" x14ac:dyDescent="0.2">
      <c r="A1" s="21" t="s">
        <v>992</v>
      </c>
      <c r="B1" s="13" t="s">
        <v>993</v>
      </c>
      <c r="C1" s="13" t="s">
        <v>994</v>
      </c>
      <c r="D1" s="13" t="s">
        <v>995</v>
      </c>
      <c r="E1" s="19" t="s">
        <v>996</v>
      </c>
      <c r="F1" s="19" t="s">
        <v>997</v>
      </c>
      <c r="G1" s="13" t="s">
        <v>998</v>
      </c>
      <c r="H1" s="13" t="s">
        <v>1000</v>
      </c>
      <c r="I1" s="13" t="s">
        <v>999</v>
      </c>
      <c r="J1" s="13" t="s">
        <v>2089</v>
      </c>
      <c r="K1" s="49" t="s">
        <v>1001</v>
      </c>
      <c r="L1" s="49" t="s">
        <v>1002</v>
      </c>
      <c r="M1" s="49" t="s">
        <v>1003</v>
      </c>
      <c r="N1" s="49" t="s">
        <v>1004</v>
      </c>
      <c r="O1" s="49" t="s">
        <v>1005</v>
      </c>
      <c r="P1" s="49" t="s">
        <v>1006</v>
      </c>
      <c r="Q1" s="50" t="s">
        <v>85</v>
      </c>
      <c r="R1" s="50" t="s">
        <v>86</v>
      </c>
      <c r="S1" s="50" t="s">
        <v>87</v>
      </c>
      <c r="T1" s="14" t="s">
        <v>1007</v>
      </c>
      <c r="U1" s="14" t="s">
        <v>1008</v>
      </c>
      <c r="V1" s="14" t="s">
        <v>1009</v>
      </c>
      <c r="W1" s="14" t="s">
        <v>1010</v>
      </c>
      <c r="X1" s="14" t="s">
        <v>1011</v>
      </c>
      <c r="Y1" s="14" t="s">
        <v>1012</v>
      </c>
      <c r="Z1" s="17" t="s">
        <v>1981</v>
      </c>
      <c r="AA1" s="17" t="s">
        <v>1013</v>
      </c>
      <c r="AB1" s="12" t="s">
        <v>1014</v>
      </c>
      <c r="AC1" s="12" t="s">
        <v>1015</v>
      </c>
      <c r="AD1" s="12" t="s">
        <v>1982</v>
      </c>
      <c r="AE1" s="12" t="s">
        <v>1016</v>
      </c>
      <c r="AF1" s="12" t="s">
        <v>1017</v>
      </c>
      <c r="AG1" s="12" t="s">
        <v>1018</v>
      </c>
      <c r="AH1" s="51" t="s">
        <v>1837</v>
      </c>
    </row>
    <row r="2" spans="1:34" x14ac:dyDescent="0.2">
      <c r="A2" s="22">
        <v>1</v>
      </c>
      <c r="B2" s="85" t="s">
        <v>2191</v>
      </c>
      <c r="C2" s="3">
        <v>2021</v>
      </c>
      <c r="D2" s="3" t="s">
        <v>2188</v>
      </c>
      <c r="E2" s="20">
        <v>40179</v>
      </c>
      <c r="F2" s="20">
        <v>44196</v>
      </c>
      <c r="G2" s="3" t="s">
        <v>67</v>
      </c>
      <c r="H2" s="3" t="s">
        <v>67</v>
      </c>
      <c r="I2" s="3" t="s">
        <v>67</v>
      </c>
      <c r="J2" s="3" t="s">
        <v>67</v>
      </c>
      <c r="K2" s="5" t="s">
        <v>2097</v>
      </c>
      <c r="L2" s="5" t="s">
        <v>2126</v>
      </c>
      <c r="M2" s="5" t="s">
        <v>2098</v>
      </c>
      <c r="N2" s="5" t="s">
        <v>2127</v>
      </c>
      <c r="O2" s="5" t="s">
        <v>2099</v>
      </c>
      <c r="P2" s="5" t="s">
        <v>2100</v>
      </c>
      <c r="Q2" s="3" t="s">
        <v>2128</v>
      </c>
      <c r="R2" s="3" t="s">
        <v>2129</v>
      </c>
      <c r="S2" s="3" t="s">
        <v>2130</v>
      </c>
      <c r="T2" s="1">
        <v>2021</v>
      </c>
      <c r="U2" s="1" t="s">
        <v>2131</v>
      </c>
      <c r="V2" s="1" t="s">
        <v>2132</v>
      </c>
      <c r="W2" s="1" t="s">
        <v>2133</v>
      </c>
      <c r="X2" s="1" t="s">
        <v>2134</v>
      </c>
      <c r="Y2" s="1" t="s">
        <v>2135</v>
      </c>
      <c r="Z2" s="2" t="s">
        <v>530</v>
      </c>
      <c r="AA2" s="2" t="s">
        <v>1912</v>
      </c>
      <c r="AB2" s="2" t="s">
        <v>1927</v>
      </c>
      <c r="AC2" s="2" t="s">
        <v>1566</v>
      </c>
      <c r="AD2" s="7" t="s">
        <v>2190</v>
      </c>
      <c r="AE2" s="2" t="s">
        <v>2189</v>
      </c>
      <c r="AF2" s="2" t="s">
        <v>45</v>
      </c>
      <c r="AG2" s="2" t="s">
        <v>1904</v>
      </c>
    </row>
    <row r="3" spans="1:34" ht="12.75" customHeight="1" x14ac:dyDescent="0.2">
      <c r="A3" s="22">
        <v>2</v>
      </c>
      <c r="B3" s="85" t="s">
        <v>2192</v>
      </c>
      <c r="C3" s="3">
        <v>2020</v>
      </c>
      <c r="D3" s="3" t="s">
        <v>2070</v>
      </c>
      <c r="E3" s="20">
        <v>43891</v>
      </c>
      <c r="F3" s="20">
        <v>43921</v>
      </c>
      <c r="G3" s="3" t="s">
        <v>67</v>
      </c>
      <c r="H3" s="3" t="s">
        <v>67</v>
      </c>
      <c r="I3" s="3" t="s">
        <v>67</v>
      </c>
      <c r="J3" s="3" t="s">
        <v>67</v>
      </c>
      <c r="K3" s="5" t="s">
        <v>2071</v>
      </c>
      <c r="L3" s="54" t="s">
        <v>2072</v>
      </c>
      <c r="M3" s="5" t="s">
        <v>2077</v>
      </c>
      <c r="N3" s="54" t="s">
        <v>2078</v>
      </c>
      <c r="O3" s="5" t="s">
        <v>2079</v>
      </c>
      <c r="P3" s="54" t="s">
        <v>2080</v>
      </c>
      <c r="Q3" s="3" t="s">
        <v>2083</v>
      </c>
      <c r="R3" s="3" t="s">
        <v>2082</v>
      </c>
      <c r="S3" s="3" t="s">
        <v>2081</v>
      </c>
      <c r="T3" s="1">
        <v>2020</v>
      </c>
      <c r="U3" s="1" t="s">
        <v>2073</v>
      </c>
      <c r="V3" s="1" t="s">
        <v>2194</v>
      </c>
      <c r="W3" s="1" t="s">
        <v>2074</v>
      </c>
      <c r="X3" s="1" t="s">
        <v>2075</v>
      </c>
      <c r="Y3" s="1" t="s">
        <v>2076</v>
      </c>
      <c r="Z3" s="2" t="s">
        <v>1562</v>
      </c>
      <c r="AA3" s="2" t="s">
        <v>1902</v>
      </c>
      <c r="AB3" s="2" t="s">
        <v>2084</v>
      </c>
      <c r="AC3" s="2" t="s">
        <v>1566</v>
      </c>
      <c r="AD3" s="7" t="s">
        <v>1562</v>
      </c>
      <c r="AE3" s="2" t="s">
        <v>41</v>
      </c>
      <c r="AF3" s="2" t="s">
        <v>47</v>
      </c>
      <c r="AG3" s="2" t="s">
        <v>1562</v>
      </c>
    </row>
    <row r="4" spans="1:34" x14ac:dyDescent="0.2">
      <c r="A4" s="22">
        <v>3</v>
      </c>
      <c r="B4" s="85" t="s">
        <v>2193</v>
      </c>
      <c r="C4" s="3">
        <v>2018</v>
      </c>
      <c r="D4" s="3" t="s">
        <v>2187</v>
      </c>
      <c r="E4" s="3" t="s">
        <v>67</v>
      </c>
      <c r="F4" s="3" t="s">
        <v>67</v>
      </c>
      <c r="G4" s="3" t="s">
        <v>67</v>
      </c>
      <c r="H4" s="3" t="s">
        <v>67</v>
      </c>
      <c r="I4" s="3" t="s">
        <v>67</v>
      </c>
      <c r="J4" s="3" t="s">
        <v>67</v>
      </c>
      <c r="K4" s="5" t="s">
        <v>2161</v>
      </c>
      <c r="L4" s="10" t="s">
        <v>2162</v>
      </c>
      <c r="M4" s="5" t="s">
        <v>2160</v>
      </c>
      <c r="N4" s="10" t="s">
        <v>2163</v>
      </c>
      <c r="O4" s="10" t="s">
        <v>2164</v>
      </c>
      <c r="P4" s="10" t="s">
        <v>2165</v>
      </c>
      <c r="Q4" s="3" t="s">
        <v>2085</v>
      </c>
      <c r="R4" s="3" t="s">
        <v>2087</v>
      </c>
      <c r="S4" s="3" t="s">
        <v>2088</v>
      </c>
      <c r="T4" s="1">
        <v>2018</v>
      </c>
      <c r="U4" s="88" t="s">
        <v>2197</v>
      </c>
      <c r="V4" s="88" t="s">
        <v>2198</v>
      </c>
      <c r="W4" s="88" t="s">
        <v>2195</v>
      </c>
      <c r="X4" s="88" t="s">
        <v>2196</v>
      </c>
      <c r="Y4" s="88" t="s">
        <v>2088</v>
      </c>
      <c r="Z4" s="2" t="s">
        <v>1899</v>
      </c>
      <c r="AA4" s="2" t="s">
        <v>1902</v>
      </c>
      <c r="AB4" s="2" t="s">
        <v>1841</v>
      </c>
      <c r="AC4" s="2" t="s">
        <v>14</v>
      </c>
      <c r="AD4" s="7" t="s">
        <v>60</v>
      </c>
      <c r="AE4" s="2" t="s">
        <v>1863</v>
      </c>
      <c r="AF4" s="2" t="s">
        <v>1637</v>
      </c>
      <c r="AG4" s="2" t="s">
        <v>2177</v>
      </c>
      <c r="AH4" s="53" t="s">
        <v>2180</v>
      </c>
    </row>
    <row r="5" spans="1:34" s="9" customFormat="1" ht="12.75" customHeight="1" x14ac:dyDescent="0.2">
      <c r="A5" s="22">
        <v>4</v>
      </c>
      <c r="B5" s="8">
        <v>1</v>
      </c>
      <c r="C5" s="8">
        <v>2015</v>
      </c>
      <c r="D5" s="16" t="s">
        <v>535</v>
      </c>
      <c r="E5" s="20">
        <v>41852</v>
      </c>
      <c r="F5" s="20">
        <v>41943</v>
      </c>
      <c r="G5" s="3">
        <v>91</v>
      </c>
      <c r="H5" s="3">
        <v>18</v>
      </c>
      <c r="I5" s="3">
        <v>7</v>
      </c>
      <c r="J5" s="3">
        <v>0</v>
      </c>
      <c r="K5" s="10" t="s">
        <v>2136</v>
      </c>
      <c r="L5" s="10" t="s">
        <v>2045</v>
      </c>
      <c r="M5" s="10" t="s">
        <v>2137</v>
      </c>
      <c r="N5" s="10" t="s">
        <v>2061</v>
      </c>
      <c r="O5" s="10" t="s">
        <v>2138</v>
      </c>
      <c r="P5" s="83" t="s">
        <v>2054</v>
      </c>
      <c r="Q5" s="8" t="s">
        <v>2051</v>
      </c>
      <c r="R5" s="8" t="s">
        <v>2052</v>
      </c>
      <c r="S5" s="8" t="s">
        <v>2053</v>
      </c>
      <c r="T5" s="6">
        <v>2014</v>
      </c>
      <c r="U5" s="6" t="s">
        <v>2046</v>
      </c>
      <c r="V5" s="6" t="s">
        <v>2047</v>
      </c>
      <c r="W5" s="6" t="s">
        <v>2048</v>
      </c>
      <c r="X5" s="6" t="s">
        <v>2049</v>
      </c>
      <c r="Y5" s="6" t="s">
        <v>2050</v>
      </c>
      <c r="Z5" s="2" t="s">
        <v>1899</v>
      </c>
      <c r="AA5" s="2" t="s">
        <v>1901</v>
      </c>
      <c r="AB5" s="7" t="s">
        <v>1840</v>
      </c>
      <c r="AC5" s="7" t="s">
        <v>2178</v>
      </c>
      <c r="AD5" s="7" t="s">
        <v>16</v>
      </c>
      <c r="AE5" s="7" t="s">
        <v>44</v>
      </c>
      <c r="AF5" s="7" t="s">
        <v>47</v>
      </c>
      <c r="AG5" s="7" t="s">
        <v>2173</v>
      </c>
      <c r="AH5" s="52" t="s">
        <v>2181</v>
      </c>
    </row>
    <row r="6" spans="1:34" s="9" customFormat="1" ht="12.75" customHeight="1" x14ac:dyDescent="0.2">
      <c r="A6" s="22">
        <v>5</v>
      </c>
      <c r="B6" s="8">
        <v>1</v>
      </c>
      <c r="C6" s="8">
        <v>2015</v>
      </c>
      <c r="D6" s="16" t="s">
        <v>535</v>
      </c>
      <c r="E6" s="16">
        <v>41852</v>
      </c>
      <c r="F6" s="16">
        <v>41943</v>
      </c>
      <c r="G6" s="8">
        <v>91</v>
      </c>
      <c r="H6" s="8">
        <v>18</v>
      </c>
      <c r="I6" s="8">
        <v>7</v>
      </c>
      <c r="J6" s="8">
        <v>0</v>
      </c>
      <c r="K6" s="10" t="s">
        <v>2140</v>
      </c>
      <c r="L6" s="10" t="s">
        <v>2044</v>
      </c>
      <c r="M6" s="10" t="s">
        <v>2141</v>
      </c>
      <c r="N6" s="10" t="s">
        <v>2062</v>
      </c>
      <c r="O6" s="10" t="s">
        <v>2139</v>
      </c>
      <c r="P6" s="83" t="s">
        <v>2055</v>
      </c>
      <c r="Q6" s="8" t="s">
        <v>2051</v>
      </c>
      <c r="R6" s="8" t="s">
        <v>2052</v>
      </c>
      <c r="S6" s="8" t="s">
        <v>2053</v>
      </c>
      <c r="T6" s="6">
        <v>2014</v>
      </c>
      <c r="U6" s="6" t="s">
        <v>2038</v>
      </c>
      <c r="V6" s="84" t="s">
        <v>2203</v>
      </c>
      <c r="W6" s="6" t="s">
        <v>70</v>
      </c>
      <c r="X6" s="6" t="s">
        <v>2039</v>
      </c>
      <c r="Y6" s="6" t="s">
        <v>2040</v>
      </c>
      <c r="Z6" s="2" t="s">
        <v>1899</v>
      </c>
      <c r="AA6" s="2" t="s">
        <v>1902</v>
      </c>
      <c r="AB6" s="7" t="s">
        <v>1841</v>
      </c>
      <c r="AC6" s="2" t="s">
        <v>14</v>
      </c>
      <c r="AD6" s="7" t="s">
        <v>16</v>
      </c>
      <c r="AE6" s="7" t="s">
        <v>44</v>
      </c>
      <c r="AF6" s="7" t="s">
        <v>47</v>
      </c>
      <c r="AG6" s="2" t="s">
        <v>2174</v>
      </c>
      <c r="AH6" s="52" t="s">
        <v>2182</v>
      </c>
    </row>
    <row r="7" spans="1:34" s="9" customFormat="1" ht="12.75" customHeight="1" x14ac:dyDescent="0.2">
      <c r="A7" s="22">
        <v>6</v>
      </c>
      <c r="B7" s="8">
        <v>1</v>
      </c>
      <c r="C7" s="8">
        <v>2015</v>
      </c>
      <c r="D7" s="16" t="s">
        <v>535</v>
      </c>
      <c r="E7" s="16">
        <v>41852</v>
      </c>
      <c r="F7" s="16">
        <v>41943</v>
      </c>
      <c r="G7" s="8">
        <v>91</v>
      </c>
      <c r="H7" s="8">
        <v>18</v>
      </c>
      <c r="I7" s="8">
        <v>7</v>
      </c>
      <c r="J7" s="8">
        <v>0</v>
      </c>
      <c r="K7" s="10" t="s">
        <v>2144</v>
      </c>
      <c r="L7" s="10" t="s">
        <v>2037</v>
      </c>
      <c r="M7" s="10" t="s">
        <v>2143</v>
      </c>
      <c r="N7" s="10" t="s">
        <v>2067</v>
      </c>
      <c r="O7" s="10" t="s">
        <v>2142</v>
      </c>
      <c r="P7" s="83" t="s">
        <v>2056</v>
      </c>
      <c r="Q7" s="8" t="s">
        <v>2051</v>
      </c>
      <c r="R7" s="8" t="s">
        <v>2052</v>
      </c>
      <c r="S7" s="8" t="s">
        <v>2053</v>
      </c>
      <c r="T7" s="6">
        <v>2014</v>
      </c>
      <c r="U7" s="6" t="s">
        <v>2041</v>
      </c>
      <c r="V7" s="84" t="s">
        <v>2202</v>
      </c>
      <c r="W7" s="6" t="s">
        <v>408</v>
      </c>
      <c r="X7" s="6" t="s">
        <v>2042</v>
      </c>
      <c r="Y7" s="6" t="s">
        <v>2043</v>
      </c>
      <c r="Z7" s="2" t="s">
        <v>1899</v>
      </c>
      <c r="AA7" s="2" t="s">
        <v>1902</v>
      </c>
      <c r="AB7" s="7" t="s">
        <v>1841</v>
      </c>
      <c r="AC7" s="2" t="s">
        <v>14</v>
      </c>
      <c r="AD7" s="7" t="s">
        <v>16</v>
      </c>
      <c r="AE7" s="7" t="s">
        <v>44</v>
      </c>
      <c r="AF7" s="7" t="s">
        <v>47</v>
      </c>
      <c r="AG7" s="2" t="s">
        <v>2175</v>
      </c>
      <c r="AH7" s="52" t="s">
        <v>2183</v>
      </c>
    </row>
    <row r="8" spans="1:34" s="9" customFormat="1" ht="13.5" customHeight="1" x14ac:dyDescent="0.2">
      <c r="A8" s="22">
        <v>7</v>
      </c>
      <c r="B8" s="8">
        <v>1</v>
      </c>
      <c r="C8" s="8">
        <v>2015</v>
      </c>
      <c r="D8" s="16" t="s">
        <v>535</v>
      </c>
      <c r="E8" s="16">
        <v>41852</v>
      </c>
      <c r="F8" s="16">
        <v>41943</v>
      </c>
      <c r="G8" s="8">
        <v>91</v>
      </c>
      <c r="H8" s="8">
        <v>18</v>
      </c>
      <c r="I8" s="8">
        <v>7</v>
      </c>
      <c r="J8" s="8">
        <v>0</v>
      </c>
      <c r="K8" s="10" t="s">
        <v>2146</v>
      </c>
      <c r="L8" s="10" t="s">
        <v>2033</v>
      </c>
      <c r="M8" s="10" t="s">
        <v>2147</v>
      </c>
      <c r="N8" s="10" t="s">
        <v>2063</v>
      </c>
      <c r="O8" s="10" t="s">
        <v>2145</v>
      </c>
      <c r="P8" s="83" t="s">
        <v>2057</v>
      </c>
      <c r="Q8" s="8" t="s">
        <v>2051</v>
      </c>
      <c r="R8" s="8" t="s">
        <v>2052</v>
      </c>
      <c r="S8" s="8" t="s">
        <v>2053</v>
      </c>
      <c r="T8" s="6">
        <v>2014</v>
      </c>
      <c r="U8" s="6" t="s">
        <v>2034</v>
      </c>
      <c r="V8" s="84" t="s">
        <v>2201</v>
      </c>
      <c r="W8" s="6" t="s">
        <v>291</v>
      </c>
      <c r="X8" s="6" t="s">
        <v>2035</v>
      </c>
      <c r="Y8" s="6" t="s">
        <v>2036</v>
      </c>
      <c r="Z8" s="2" t="s">
        <v>15</v>
      </c>
      <c r="AA8" s="2" t="s">
        <v>1901</v>
      </c>
      <c r="AB8" s="7" t="s">
        <v>1840</v>
      </c>
      <c r="AC8" s="2" t="s">
        <v>2179</v>
      </c>
      <c r="AD8" s="7" t="s">
        <v>15</v>
      </c>
      <c r="AE8" s="7" t="s">
        <v>1894</v>
      </c>
      <c r="AF8" s="7" t="s">
        <v>46</v>
      </c>
      <c r="AG8" s="2" t="s">
        <v>1882</v>
      </c>
      <c r="AH8" s="52" t="s">
        <v>2184</v>
      </c>
    </row>
    <row r="9" spans="1:34" s="9" customFormat="1" ht="12" customHeight="1" x14ac:dyDescent="0.2">
      <c r="A9" s="22">
        <v>8</v>
      </c>
      <c r="B9" s="8">
        <v>1</v>
      </c>
      <c r="C9" s="8">
        <v>2015</v>
      </c>
      <c r="D9" s="16" t="s">
        <v>535</v>
      </c>
      <c r="E9" s="16">
        <v>41852</v>
      </c>
      <c r="F9" s="16">
        <v>41943</v>
      </c>
      <c r="G9" s="8">
        <v>91</v>
      </c>
      <c r="H9" s="8">
        <v>18</v>
      </c>
      <c r="I9" s="8">
        <v>7</v>
      </c>
      <c r="J9" s="8">
        <v>0</v>
      </c>
      <c r="K9" s="10" t="s">
        <v>2150</v>
      </c>
      <c r="L9" s="10" t="s">
        <v>2026</v>
      </c>
      <c r="M9" s="10" t="s">
        <v>2148</v>
      </c>
      <c r="N9" s="10" t="s">
        <v>2064</v>
      </c>
      <c r="O9" s="10" t="s">
        <v>2149</v>
      </c>
      <c r="P9" s="83" t="s">
        <v>2058</v>
      </c>
      <c r="Q9" s="8" t="s">
        <v>2051</v>
      </c>
      <c r="R9" s="8" t="s">
        <v>2052</v>
      </c>
      <c r="S9" s="8" t="s">
        <v>2053</v>
      </c>
      <c r="T9" s="6">
        <v>2014</v>
      </c>
      <c r="U9" s="6" t="s">
        <v>2032</v>
      </c>
      <c r="V9" s="84" t="s">
        <v>2149</v>
      </c>
      <c r="W9" s="6" t="s">
        <v>69</v>
      </c>
      <c r="X9" s="6" t="s">
        <v>2031</v>
      </c>
      <c r="Y9" s="6" t="s">
        <v>2030</v>
      </c>
      <c r="Z9" s="2" t="s">
        <v>15</v>
      </c>
      <c r="AA9" s="2" t="s">
        <v>1901</v>
      </c>
      <c r="AB9" s="7" t="s">
        <v>1840</v>
      </c>
      <c r="AC9" s="2" t="s">
        <v>26</v>
      </c>
      <c r="AD9" s="7" t="s">
        <v>15</v>
      </c>
      <c r="AE9" s="7" t="s">
        <v>2176</v>
      </c>
      <c r="AF9" s="7" t="s">
        <v>47</v>
      </c>
      <c r="AG9" s="2" t="s">
        <v>2186</v>
      </c>
      <c r="AH9" s="87" t="s">
        <v>2185</v>
      </c>
    </row>
    <row r="10" spans="1:34" s="9" customFormat="1" ht="12.75" customHeight="1" x14ac:dyDescent="0.2">
      <c r="A10" s="22">
        <v>9</v>
      </c>
      <c r="B10" s="8">
        <v>1</v>
      </c>
      <c r="C10" s="8">
        <v>2015</v>
      </c>
      <c r="D10" s="16" t="s">
        <v>535</v>
      </c>
      <c r="E10" s="16">
        <v>41852</v>
      </c>
      <c r="F10" s="16">
        <v>41943</v>
      </c>
      <c r="G10" s="8">
        <v>91</v>
      </c>
      <c r="H10" s="8">
        <v>18</v>
      </c>
      <c r="I10" s="8">
        <v>7</v>
      </c>
      <c r="J10" s="8">
        <v>0</v>
      </c>
      <c r="K10" s="10" t="s">
        <v>2152</v>
      </c>
      <c r="L10" s="10" t="s">
        <v>2026</v>
      </c>
      <c r="M10" s="10" t="s">
        <v>2153</v>
      </c>
      <c r="N10" s="10" t="s">
        <v>2064</v>
      </c>
      <c r="O10" s="10" t="s">
        <v>2151</v>
      </c>
      <c r="P10" s="83" t="s">
        <v>2058</v>
      </c>
      <c r="Q10" s="8" t="s">
        <v>2051</v>
      </c>
      <c r="R10" s="8" t="s">
        <v>2052</v>
      </c>
      <c r="S10" s="8" t="s">
        <v>2053</v>
      </c>
      <c r="T10" s="6">
        <v>2014</v>
      </c>
      <c r="U10" s="6" t="s">
        <v>2027</v>
      </c>
      <c r="V10" s="84" t="s">
        <v>2200</v>
      </c>
      <c r="W10" s="6" t="s">
        <v>90</v>
      </c>
      <c r="X10" s="6" t="s">
        <v>2028</v>
      </c>
      <c r="Y10" s="6" t="s">
        <v>2029</v>
      </c>
      <c r="Z10" s="2" t="s">
        <v>15</v>
      </c>
      <c r="AA10" s="2" t="s">
        <v>1901</v>
      </c>
      <c r="AB10" s="7" t="s">
        <v>1840</v>
      </c>
      <c r="AC10" s="2" t="s">
        <v>26</v>
      </c>
      <c r="AD10" s="7" t="s">
        <v>15</v>
      </c>
      <c r="AE10" s="7" t="s">
        <v>2176</v>
      </c>
      <c r="AF10" s="7" t="s">
        <v>47</v>
      </c>
      <c r="AG10" s="2" t="s">
        <v>2186</v>
      </c>
      <c r="AH10" s="52"/>
    </row>
    <row r="11" spans="1:34" s="9" customFormat="1" ht="12.75" customHeight="1" x14ac:dyDescent="0.2">
      <c r="A11" s="22">
        <v>10</v>
      </c>
      <c r="B11" s="8">
        <v>1</v>
      </c>
      <c r="C11" s="8">
        <v>2015</v>
      </c>
      <c r="D11" s="16" t="s">
        <v>535</v>
      </c>
      <c r="E11" s="16">
        <v>41852</v>
      </c>
      <c r="F11" s="16">
        <v>41943</v>
      </c>
      <c r="G11" s="8">
        <v>91</v>
      </c>
      <c r="H11" s="8">
        <v>18</v>
      </c>
      <c r="I11" s="8">
        <v>7</v>
      </c>
      <c r="J11" s="8">
        <v>0</v>
      </c>
      <c r="K11" s="10" t="s">
        <v>2155</v>
      </c>
      <c r="L11" s="10" t="s">
        <v>2021</v>
      </c>
      <c r="M11" s="10" t="s">
        <v>2154</v>
      </c>
      <c r="N11" s="10" t="s">
        <v>2065</v>
      </c>
      <c r="O11" s="10" t="s">
        <v>2156</v>
      </c>
      <c r="P11" s="83" t="s">
        <v>2059</v>
      </c>
      <c r="Q11" s="8" t="s">
        <v>2051</v>
      </c>
      <c r="R11" s="8" t="s">
        <v>2052</v>
      </c>
      <c r="S11" s="8" t="s">
        <v>2053</v>
      </c>
      <c r="T11" s="6">
        <v>2014</v>
      </c>
      <c r="U11" s="6" t="s">
        <v>2022</v>
      </c>
      <c r="V11" s="84" t="s">
        <v>2199</v>
      </c>
      <c r="W11" s="6" t="s">
        <v>2023</v>
      </c>
      <c r="X11" s="6" t="s">
        <v>2024</v>
      </c>
      <c r="Y11" s="6" t="s">
        <v>2025</v>
      </c>
      <c r="Z11" s="2" t="s">
        <v>15</v>
      </c>
      <c r="AA11" s="2" t="s">
        <v>1901</v>
      </c>
      <c r="AB11" s="2" t="s">
        <v>1901</v>
      </c>
      <c r="AC11" s="2" t="s">
        <v>34</v>
      </c>
      <c r="AD11" s="7" t="s">
        <v>15</v>
      </c>
      <c r="AE11" s="7" t="s">
        <v>36</v>
      </c>
      <c r="AF11" s="7" t="s">
        <v>46</v>
      </c>
      <c r="AG11" s="2" t="s">
        <v>1903</v>
      </c>
      <c r="AH11" s="52"/>
    </row>
    <row r="12" spans="1:34" s="9" customFormat="1" ht="12" customHeight="1" x14ac:dyDescent="0.2">
      <c r="A12" s="22">
        <v>11</v>
      </c>
      <c r="B12" s="8">
        <v>1</v>
      </c>
      <c r="C12" s="8">
        <v>2015</v>
      </c>
      <c r="D12" s="16" t="s">
        <v>535</v>
      </c>
      <c r="E12" s="16">
        <v>41852</v>
      </c>
      <c r="F12" s="16">
        <v>41943</v>
      </c>
      <c r="G12" s="8">
        <v>91</v>
      </c>
      <c r="H12" s="8">
        <v>18</v>
      </c>
      <c r="I12" s="8">
        <v>7</v>
      </c>
      <c r="J12" s="8">
        <v>0</v>
      </c>
      <c r="K12" s="10" t="s">
        <v>2159</v>
      </c>
      <c r="L12" s="10" t="s">
        <v>2017</v>
      </c>
      <c r="M12" s="10" t="s">
        <v>2158</v>
      </c>
      <c r="N12" s="10" t="s">
        <v>2066</v>
      </c>
      <c r="O12" s="10" t="s">
        <v>2157</v>
      </c>
      <c r="P12" s="83" t="s">
        <v>2060</v>
      </c>
      <c r="Q12" s="8" t="s">
        <v>2051</v>
      </c>
      <c r="R12" s="8" t="s">
        <v>2052</v>
      </c>
      <c r="S12" s="8" t="s">
        <v>2053</v>
      </c>
      <c r="T12" s="6">
        <v>2014</v>
      </c>
      <c r="U12" s="6" t="s">
        <v>2018</v>
      </c>
      <c r="V12" s="84" t="s">
        <v>2204</v>
      </c>
      <c r="W12" s="6" t="s">
        <v>403</v>
      </c>
      <c r="X12" s="6" t="s">
        <v>2019</v>
      </c>
      <c r="Y12" s="6" t="s">
        <v>2020</v>
      </c>
      <c r="Z12" s="2" t="s">
        <v>530</v>
      </c>
      <c r="AA12" s="2" t="s">
        <v>1901</v>
      </c>
      <c r="AB12" s="7" t="s">
        <v>1840</v>
      </c>
      <c r="AC12" s="2" t="s">
        <v>1566</v>
      </c>
      <c r="AD12" s="7" t="s">
        <v>1854</v>
      </c>
      <c r="AE12" s="7" t="s">
        <v>44</v>
      </c>
      <c r="AF12" s="7" t="s">
        <v>47</v>
      </c>
      <c r="AG12" s="2" t="s">
        <v>1904</v>
      </c>
      <c r="AH12" s="52"/>
    </row>
    <row r="13" spans="1:34" s="9" customFormat="1" x14ac:dyDescent="0.2">
      <c r="A13" s="22">
        <v>12</v>
      </c>
      <c r="B13" s="8">
        <v>2</v>
      </c>
      <c r="C13" s="8">
        <v>2015</v>
      </c>
      <c r="D13" s="8" t="s">
        <v>532</v>
      </c>
      <c r="E13" s="16">
        <v>41944</v>
      </c>
      <c r="F13" s="16">
        <v>42035</v>
      </c>
      <c r="G13" s="8">
        <v>113</v>
      </c>
      <c r="H13" s="8">
        <v>8</v>
      </c>
      <c r="I13" s="8">
        <v>5</v>
      </c>
      <c r="J13" s="8">
        <v>0</v>
      </c>
      <c r="K13" s="10" t="s">
        <v>936</v>
      </c>
      <c r="L13" s="10" t="s">
        <v>937</v>
      </c>
      <c r="M13" s="10" t="s">
        <v>938</v>
      </c>
      <c r="N13" s="10" t="s">
        <v>939</v>
      </c>
      <c r="O13" s="10" t="s">
        <v>940</v>
      </c>
      <c r="P13" s="10" t="s">
        <v>941</v>
      </c>
      <c r="Q13" s="8" t="s">
        <v>537</v>
      </c>
      <c r="R13" s="8" t="s">
        <v>538</v>
      </c>
      <c r="S13" s="8" t="s">
        <v>539</v>
      </c>
      <c r="T13" s="6">
        <v>2014</v>
      </c>
      <c r="U13" s="6" t="s">
        <v>88</v>
      </c>
      <c r="V13" s="6" t="s">
        <v>89</v>
      </c>
      <c r="W13" s="6" t="s">
        <v>90</v>
      </c>
      <c r="X13" s="6" t="s">
        <v>91</v>
      </c>
      <c r="Y13" s="6" t="s">
        <v>92</v>
      </c>
      <c r="Z13" s="2" t="s">
        <v>1899</v>
      </c>
      <c r="AA13" s="7" t="s">
        <v>1901</v>
      </c>
      <c r="AB13" s="7" t="s">
        <v>1840</v>
      </c>
      <c r="AC13" s="7" t="s">
        <v>26</v>
      </c>
      <c r="AD13" s="7" t="s">
        <v>60</v>
      </c>
      <c r="AE13" s="7" t="s">
        <v>1863</v>
      </c>
      <c r="AF13" s="7" t="s">
        <v>46</v>
      </c>
      <c r="AG13" s="7" t="s">
        <v>1872</v>
      </c>
      <c r="AH13" s="52"/>
    </row>
    <row r="14" spans="1:34" x14ac:dyDescent="0.2">
      <c r="A14" s="22">
        <v>13</v>
      </c>
      <c r="B14" s="3">
        <v>2</v>
      </c>
      <c r="C14" s="3">
        <v>2015</v>
      </c>
      <c r="D14" s="3" t="s">
        <v>532</v>
      </c>
      <c r="E14" s="20">
        <v>41944</v>
      </c>
      <c r="F14" s="20">
        <v>42035</v>
      </c>
      <c r="G14" s="3">
        <v>113</v>
      </c>
      <c r="H14" s="8">
        <v>8</v>
      </c>
      <c r="I14" s="3">
        <v>5</v>
      </c>
      <c r="J14" s="3">
        <v>0</v>
      </c>
      <c r="K14" s="5" t="s">
        <v>942</v>
      </c>
      <c r="L14" s="5" t="s">
        <v>943</v>
      </c>
      <c r="M14" s="5" t="s">
        <v>944</v>
      </c>
      <c r="N14" s="5" t="s">
        <v>945</v>
      </c>
      <c r="O14" s="5" t="s">
        <v>946</v>
      </c>
      <c r="P14" s="5" t="s">
        <v>947</v>
      </c>
      <c r="Q14" s="3" t="s">
        <v>537</v>
      </c>
      <c r="R14" s="3" t="s">
        <v>538</v>
      </c>
      <c r="S14" s="3" t="s">
        <v>539</v>
      </c>
      <c r="T14" s="1">
        <v>2014</v>
      </c>
      <c r="U14" s="1" t="s">
        <v>93</v>
      </c>
      <c r="V14" s="1" t="s">
        <v>94</v>
      </c>
      <c r="W14" s="1" t="s">
        <v>95</v>
      </c>
      <c r="X14" s="1" t="s">
        <v>96</v>
      </c>
      <c r="Y14" s="1" t="s">
        <v>97</v>
      </c>
      <c r="Z14" s="2" t="s">
        <v>1899</v>
      </c>
      <c r="AA14" s="7" t="s">
        <v>1901</v>
      </c>
      <c r="AB14" s="2" t="s">
        <v>1840</v>
      </c>
      <c r="AC14" s="2" t="s">
        <v>1490</v>
      </c>
      <c r="AD14" s="2" t="s">
        <v>60</v>
      </c>
      <c r="AE14" s="2" t="s">
        <v>41</v>
      </c>
      <c r="AF14" s="2" t="s">
        <v>1637</v>
      </c>
      <c r="AG14" s="2" t="s">
        <v>1943</v>
      </c>
    </row>
    <row r="15" spans="1:34" x14ac:dyDescent="0.2">
      <c r="A15" s="22">
        <v>14</v>
      </c>
      <c r="B15" s="3">
        <v>2</v>
      </c>
      <c r="C15" s="3">
        <v>2015</v>
      </c>
      <c r="D15" s="3" t="s">
        <v>532</v>
      </c>
      <c r="E15" s="20">
        <v>41944</v>
      </c>
      <c r="F15" s="20">
        <v>42035</v>
      </c>
      <c r="G15" s="3">
        <v>113</v>
      </c>
      <c r="H15" s="8">
        <v>8</v>
      </c>
      <c r="I15" s="3">
        <v>5</v>
      </c>
      <c r="J15" s="3">
        <v>0</v>
      </c>
      <c r="K15" s="5" t="s">
        <v>948</v>
      </c>
      <c r="L15" s="5" t="s">
        <v>949</v>
      </c>
      <c r="M15" s="5" t="s">
        <v>950</v>
      </c>
      <c r="N15" s="10" t="s">
        <v>951</v>
      </c>
      <c r="O15" s="5" t="s">
        <v>952</v>
      </c>
      <c r="P15" s="5" t="s">
        <v>953</v>
      </c>
      <c r="Q15" s="3" t="s">
        <v>537</v>
      </c>
      <c r="R15" s="3" t="s">
        <v>538</v>
      </c>
      <c r="S15" s="3" t="s">
        <v>539</v>
      </c>
      <c r="T15" s="1">
        <v>2014</v>
      </c>
      <c r="U15" s="1" t="s">
        <v>98</v>
      </c>
      <c r="V15" s="1" t="s">
        <v>99</v>
      </c>
      <c r="W15" s="1" t="s">
        <v>100</v>
      </c>
      <c r="X15" s="1" t="s">
        <v>101</v>
      </c>
      <c r="Y15" s="1" t="s">
        <v>102</v>
      </c>
      <c r="Z15" s="2" t="s">
        <v>1899</v>
      </c>
      <c r="AA15" s="2" t="s">
        <v>1901</v>
      </c>
      <c r="AB15" s="2" t="s">
        <v>1840</v>
      </c>
      <c r="AC15" s="2" t="s">
        <v>26</v>
      </c>
      <c r="AD15" s="2" t="s">
        <v>16</v>
      </c>
      <c r="AE15" s="2" t="s">
        <v>44</v>
      </c>
      <c r="AF15" s="2" t="s">
        <v>46</v>
      </c>
      <c r="AG15" s="2" t="s">
        <v>1950</v>
      </c>
    </row>
    <row r="16" spans="1:34" x14ac:dyDescent="0.2">
      <c r="A16" s="22">
        <v>15</v>
      </c>
      <c r="B16" s="3">
        <v>2</v>
      </c>
      <c r="C16" s="3">
        <v>2015</v>
      </c>
      <c r="D16" s="3" t="s">
        <v>532</v>
      </c>
      <c r="E16" s="20">
        <v>41944</v>
      </c>
      <c r="F16" s="20">
        <v>42035</v>
      </c>
      <c r="G16" s="3">
        <v>113</v>
      </c>
      <c r="H16" s="8">
        <v>8</v>
      </c>
      <c r="I16" s="3">
        <v>5</v>
      </c>
      <c r="J16" s="3">
        <v>0</v>
      </c>
      <c r="K16" s="5" t="s">
        <v>954</v>
      </c>
      <c r="L16" s="5" t="s">
        <v>955</v>
      </c>
      <c r="M16" s="5" t="s">
        <v>956</v>
      </c>
      <c r="N16" s="5" t="s">
        <v>1491</v>
      </c>
      <c r="O16" s="5" t="s">
        <v>957</v>
      </c>
      <c r="P16" s="5" t="s">
        <v>958</v>
      </c>
      <c r="Q16" s="3" t="s">
        <v>537</v>
      </c>
      <c r="R16" s="3" t="s">
        <v>538</v>
      </c>
      <c r="S16" s="3" t="s">
        <v>539</v>
      </c>
      <c r="T16" s="1">
        <v>2015</v>
      </c>
      <c r="U16" s="1" t="s">
        <v>103</v>
      </c>
      <c r="V16" s="1" t="s">
        <v>104</v>
      </c>
      <c r="W16" s="1" t="s">
        <v>105</v>
      </c>
      <c r="X16" s="1" t="s">
        <v>106</v>
      </c>
      <c r="Y16" s="1" t="s">
        <v>107</v>
      </c>
      <c r="Z16" s="2" t="s">
        <v>1899</v>
      </c>
      <c r="AA16" s="2" t="s">
        <v>1902</v>
      </c>
      <c r="AB16" s="2" t="s">
        <v>1841</v>
      </c>
      <c r="AC16" s="2" t="s">
        <v>14</v>
      </c>
      <c r="AD16" s="2" t="s">
        <v>60</v>
      </c>
      <c r="AE16" s="2" t="s">
        <v>1863</v>
      </c>
      <c r="AF16" s="2" t="s">
        <v>1637</v>
      </c>
      <c r="AG16" s="2" t="s">
        <v>1957</v>
      </c>
    </row>
    <row r="17" spans="1:33" x14ac:dyDescent="0.2">
      <c r="A17" s="22">
        <v>16</v>
      </c>
      <c r="B17" s="3">
        <v>2</v>
      </c>
      <c r="C17" s="3">
        <v>2015</v>
      </c>
      <c r="D17" s="3" t="s">
        <v>532</v>
      </c>
      <c r="E17" s="20">
        <v>41944</v>
      </c>
      <c r="F17" s="20">
        <v>42035</v>
      </c>
      <c r="G17" s="3">
        <v>113</v>
      </c>
      <c r="H17" s="8">
        <v>8</v>
      </c>
      <c r="I17" s="3">
        <v>5</v>
      </c>
      <c r="J17" s="3">
        <v>0</v>
      </c>
      <c r="K17" s="5" t="s">
        <v>959</v>
      </c>
      <c r="L17" s="5" t="s">
        <v>960</v>
      </c>
      <c r="M17" s="5" t="s">
        <v>961</v>
      </c>
      <c r="N17" s="5" t="s">
        <v>962</v>
      </c>
      <c r="O17" s="5" t="s">
        <v>963</v>
      </c>
      <c r="P17" s="5" t="s">
        <v>964</v>
      </c>
      <c r="Q17" s="3" t="s">
        <v>537</v>
      </c>
      <c r="R17" s="3" t="s">
        <v>538</v>
      </c>
      <c r="S17" s="3" t="s">
        <v>539</v>
      </c>
      <c r="T17" s="1">
        <v>2015</v>
      </c>
      <c r="U17" s="1" t="s">
        <v>108</v>
      </c>
      <c r="V17" s="1" t="s">
        <v>109</v>
      </c>
      <c r="W17" s="1" t="s">
        <v>110</v>
      </c>
      <c r="X17" s="1" t="s">
        <v>111</v>
      </c>
      <c r="Y17" s="1" t="s">
        <v>112</v>
      </c>
      <c r="Z17" s="2" t="s">
        <v>530</v>
      </c>
      <c r="AA17" s="2" t="s">
        <v>1902</v>
      </c>
      <c r="AB17" s="2" t="s">
        <v>1841</v>
      </c>
      <c r="AC17" s="2" t="s">
        <v>1919</v>
      </c>
      <c r="AD17" s="2" t="s">
        <v>1851</v>
      </c>
      <c r="AE17" s="2" t="s">
        <v>35</v>
      </c>
      <c r="AF17" s="2" t="s">
        <v>47</v>
      </c>
      <c r="AG17" s="2" t="s">
        <v>1851</v>
      </c>
    </row>
    <row r="18" spans="1:33" x14ac:dyDescent="0.2">
      <c r="A18" s="22">
        <v>17</v>
      </c>
      <c r="B18" s="3">
        <v>3</v>
      </c>
      <c r="C18" s="3">
        <v>2015</v>
      </c>
      <c r="D18" s="3" t="s">
        <v>533</v>
      </c>
      <c r="E18" s="20">
        <v>42036</v>
      </c>
      <c r="F18" s="20">
        <v>42124</v>
      </c>
      <c r="G18" s="3">
        <v>109</v>
      </c>
      <c r="H18" s="8">
        <v>14</v>
      </c>
      <c r="I18" s="3">
        <v>9</v>
      </c>
      <c r="J18" s="3">
        <v>0</v>
      </c>
      <c r="K18" s="5" t="s">
        <v>965</v>
      </c>
      <c r="L18" s="5" t="s">
        <v>966</v>
      </c>
      <c r="M18" s="5" t="s">
        <v>967</v>
      </c>
      <c r="N18" s="5" t="s">
        <v>968</v>
      </c>
      <c r="O18" s="5" t="s">
        <v>969</v>
      </c>
      <c r="P18" s="5" t="s">
        <v>970</v>
      </c>
      <c r="Q18" s="3" t="s">
        <v>540</v>
      </c>
      <c r="R18" s="3" t="s">
        <v>541</v>
      </c>
      <c r="S18" s="3" t="s">
        <v>542</v>
      </c>
      <c r="T18" s="1">
        <v>2015</v>
      </c>
      <c r="U18" s="1" t="s">
        <v>113</v>
      </c>
      <c r="V18" s="1" t="s">
        <v>114</v>
      </c>
      <c r="W18" s="1" t="s">
        <v>115</v>
      </c>
      <c r="X18" s="1" t="s">
        <v>116</v>
      </c>
      <c r="Y18" s="1" t="s">
        <v>117</v>
      </c>
      <c r="Z18" s="2" t="s">
        <v>1899</v>
      </c>
      <c r="AA18" s="7" t="s">
        <v>1902</v>
      </c>
      <c r="AB18" s="2" t="s">
        <v>1841</v>
      </c>
      <c r="AC18" s="2" t="s">
        <v>14</v>
      </c>
      <c r="AD18" s="2" t="s">
        <v>60</v>
      </c>
      <c r="AE18" s="2" t="s">
        <v>1863</v>
      </c>
      <c r="AF18" s="2" t="s">
        <v>46</v>
      </c>
      <c r="AG18" s="2" t="s">
        <v>1882</v>
      </c>
    </row>
    <row r="19" spans="1:33" x14ac:dyDescent="0.2">
      <c r="A19" s="22">
        <v>18</v>
      </c>
      <c r="B19" s="3">
        <v>3</v>
      </c>
      <c r="C19" s="3">
        <v>2015</v>
      </c>
      <c r="D19" s="3" t="s">
        <v>533</v>
      </c>
      <c r="E19" s="20">
        <v>42036</v>
      </c>
      <c r="F19" s="20">
        <v>42124</v>
      </c>
      <c r="G19" s="3">
        <v>109</v>
      </c>
      <c r="H19" s="8">
        <v>14</v>
      </c>
      <c r="I19" s="3">
        <v>9</v>
      </c>
      <c r="J19" s="3">
        <v>0</v>
      </c>
      <c r="K19" s="5" t="s">
        <v>971</v>
      </c>
      <c r="L19" s="5" t="s">
        <v>972</v>
      </c>
      <c r="M19" s="5" t="s">
        <v>973</v>
      </c>
      <c r="N19" s="5" t="s">
        <v>974</v>
      </c>
      <c r="O19" s="5" t="s">
        <v>975</v>
      </c>
      <c r="P19" s="5" t="s">
        <v>976</v>
      </c>
      <c r="Q19" s="3" t="s">
        <v>540</v>
      </c>
      <c r="R19" s="3" t="s">
        <v>541</v>
      </c>
      <c r="S19" s="3" t="s">
        <v>542</v>
      </c>
      <c r="T19" s="1">
        <v>2015</v>
      </c>
      <c r="U19" s="1" t="s">
        <v>118</v>
      </c>
      <c r="V19" s="1" t="s">
        <v>119</v>
      </c>
      <c r="W19" s="1" t="s">
        <v>120</v>
      </c>
      <c r="X19" s="1" t="s">
        <v>121</v>
      </c>
      <c r="Y19" s="1" t="s">
        <v>122</v>
      </c>
      <c r="Z19" s="7" t="s">
        <v>1899</v>
      </c>
      <c r="AA19" s="2" t="s">
        <v>1902</v>
      </c>
      <c r="AB19" s="2" t="s">
        <v>1841</v>
      </c>
      <c r="AC19" s="2" t="s">
        <v>14</v>
      </c>
      <c r="AD19" s="2" t="s">
        <v>60</v>
      </c>
      <c r="AE19" s="2" t="s">
        <v>1863</v>
      </c>
      <c r="AF19" s="2" t="s">
        <v>46</v>
      </c>
      <c r="AG19" s="2" t="s">
        <v>1960</v>
      </c>
    </row>
    <row r="20" spans="1:33" x14ac:dyDescent="0.2">
      <c r="A20" s="22">
        <v>19</v>
      </c>
      <c r="B20" s="3">
        <v>3</v>
      </c>
      <c r="C20" s="3">
        <v>2015</v>
      </c>
      <c r="D20" s="3" t="s">
        <v>533</v>
      </c>
      <c r="E20" s="20">
        <v>42036</v>
      </c>
      <c r="F20" s="20">
        <v>42124</v>
      </c>
      <c r="G20" s="3">
        <v>109</v>
      </c>
      <c r="H20" s="8">
        <v>14</v>
      </c>
      <c r="I20" s="3">
        <v>9</v>
      </c>
      <c r="J20" s="3">
        <v>0</v>
      </c>
      <c r="K20" s="5" t="s">
        <v>977</v>
      </c>
      <c r="L20" s="5" t="s">
        <v>978</v>
      </c>
      <c r="M20" s="5" t="s">
        <v>979</v>
      </c>
      <c r="N20" s="5" t="s">
        <v>980</v>
      </c>
      <c r="O20" s="5" t="s">
        <v>981</v>
      </c>
      <c r="P20" s="5" t="s">
        <v>982</v>
      </c>
      <c r="Q20" s="3" t="s">
        <v>540</v>
      </c>
      <c r="R20" s="3" t="s">
        <v>541</v>
      </c>
      <c r="S20" s="3" t="s">
        <v>542</v>
      </c>
      <c r="T20" s="1">
        <v>2015</v>
      </c>
      <c r="U20" s="1" t="s">
        <v>123</v>
      </c>
      <c r="V20" s="1" t="s">
        <v>124</v>
      </c>
      <c r="W20" s="1" t="s">
        <v>125</v>
      </c>
      <c r="X20" s="1" t="s">
        <v>126</v>
      </c>
      <c r="Y20" s="1" t="s">
        <v>127</v>
      </c>
      <c r="Z20" s="2" t="s">
        <v>1899</v>
      </c>
      <c r="AA20" s="2" t="s">
        <v>1912</v>
      </c>
      <c r="AB20" s="2" t="s">
        <v>1927</v>
      </c>
      <c r="AC20" s="2" t="s">
        <v>1638</v>
      </c>
      <c r="AD20" s="2" t="s">
        <v>60</v>
      </c>
      <c r="AE20" s="2" t="s">
        <v>1863</v>
      </c>
      <c r="AF20" s="2" t="s">
        <v>46</v>
      </c>
      <c r="AG20" s="2" t="s">
        <v>1954</v>
      </c>
    </row>
    <row r="21" spans="1:33" x14ac:dyDescent="0.2">
      <c r="A21" s="22">
        <v>20</v>
      </c>
      <c r="B21" s="3">
        <v>3</v>
      </c>
      <c r="C21" s="3">
        <v>2015</v>
      </c>
      <c r="D21" s="3" t="s">
        <v>533</v>
      </c>
      <c r="E21" s="20">
        <v>42036</v>
      </c>
      <c r="F21" s="20">
        <v>42124</v>
      </c>
      <c r="G21" s="3">
        <v>109</v>
      </c>
      <c r="H21" s="8">
        <v>14</v>
      </c>
      <c r="I21" s="3">
        <v>9</v>
      </c>
      <c r="J21" s="3">
        <v>0</v>
      </c>
      <c r="K21" s="5" t="s">
        <v>983</v>
      </c>
      <c r="L21" s="5" t="s">
        <v>984</v>
      </c>
      <c r="M21" s="5" t="s">
        <v>985</v>
      </c>
      <c r="N21" s="5" t="s">
        <v>986</v>
      </c>
      <c r="O21" s="5" t="s">
        <v>987</v>
      </c>
      <c r="P21" s="5" t="s">
        <v>988</v>
      </c>
      <c r="Q21" s="3" t="s">
        <v>540</v>
      </c>
      <c r="R21" s="3" t="s">
        <v>541</v>
      </c>
      <c r="S21" s="3" t="s">
        <v>542</v>
      </c>
      <c r="T21" s="1">
        <v>2015</v>
      </c>
      <c r="U21" s="1" t="s">
        <v>128</v>
      </c>
      <c r="V21" s="1" t="s">
        <v>129</v>
      </c>
      <c r="W21" s="1" t="s">
        <v>130</v>
      </c>
      <c r="X21" s="1" t="s">
        <v>131</v>
      </c>
      <c r="Y21" s="1" t="s">
        <v>132</v>
      </c>
      <c r="Z21" s="2" t="s">
        <v>1899</v>
      </c>
      <c r="AA21" s="7" t="s">
        <v>2068</v>
      </c>
      <c r="AB21" s="2" t="s">
        <v>1928</v>
      </c>
      <c r="AC21" s="2" t="s">
        <v>1562</v>
      </c>
      <c r="AD21" s="2" t="s">
        <v>16</v>
      </c>
      <c r="AE21" s="2" t="s">
        <v>37</v>
      </c>
      <c r="AF21" s="2" t="s">
        <v>46</v>
      </c>
      <c r="AG21" s="2" t="s">
        <v>1944</v>
      </c>
    </row>
    <row r="22" spans="1:33" x14ac:dyDescent="0.2">
      <c r="A22" s="22">
        <v>21</v>
      </c>
      <c r="B22" s="3">
        <v>3</v>
      </c>
      <c r="C22" s="3">
        <v>2015</v>
      </c>
      <c r="D22" s="3" t="s">
        <v>533</v>
      </c>
      <c r="E22" s="20">
        <v>42036</v>
      </c>
      <c r="F22" s="20">
        <v>42124</v>
      </c>
      <c r="G22" s="3">
        <v>109</v>
      </c>
      <c r="H22" s="8">
        <v>14</v>
      </c>
      <c r="I22" s="3">
        <v>9</v>
      </c>
      <c r="J22" s="3">
        <v>0</v>
      </c>
      <c r="K22" s="5" t="s">
        <v>561</v>
      </c>
      <c r="L22" s="5" t="s">
        <v>562</v>
      </c>
      <c r="M22" s="5" t="s">
        <v>563</v>
      </c>
      <c r="N22" s="5" t="s">
        <v>564</v>
      </c>
      <c r="O22" s="5" t="s">
        <v>565</v>
      </c>
      <c r="P22" s="5" t="s">
        <v>566</v>
      </c>
      <c r="Q22" s="3" t="s">
        <v>540</v>
      </c>
      <c r="R22" s="3" t="s">
        <v>541</v>
      </c>
      <c r="S22" s="3" t="s">
        <v>542</v>
      </c>
      <c r="T22" s="1">
        <v>2015</v>
      </c>
      <c r="U22" s="1" t="s">
        <v>133</v>
      </c>
      <c r="V22" s="1" t="s">
        <v>134</v>
      </c>
      <c r="W22" s="1" t="s">
        <v>135</v>
      </c>
      <c r="X22" s="1" t="s">
        <v>136</v>
      </c>
      <c r="Y22" s="1" t="s">
        <v>137</v>
      </c>
      <c r="Z22" s="2" t="s">
        <v>991</v>
      </c>
      <c r="AA22" s="2" t="s">
        <v>1902</v>
      </c>
      <c r="AB22" s="2" t="s">
        <v>1841</v>
      </c>
      <c r="AC22" s="2" t="s">
        <v>14</v>
      </c>
      <c r="AD22" s="2" t="s">
        <v>61</v>
      </c>
      <c r="AE22" s="2" t="s">
        <v>37</v>
      </c>
      <c r="AF22" s="2" t="s">
        <v>45</v>
      </c>
      <c r="AG22" s="2" t="s">
        <v>1936</v>
      </c>
    </row>
    <row r="23" spans="1:33" x14ac:dyDescent="0.2">
      <c r="A23" s="22">
        <v>22</v>
      </c>
      <c r="B23" s="3">
        <v>3</v>
      </c>
      <c r="C23" s="3">
        <v>2015</v>
      </c>
      <c r="D23" s="3" t="s">
        <v>533</v>
      </c>
      <c r="E23" s="20">
        <v>42036</v>
      </c>
      <c r="F23" s="20">
        <v>42124</v>
      </c>
      <c r="G23" s="3">
        <v>109</v>
      </c>
      <c r="H23" s="8">
        <v>14</v>
      </c>
      <c r="I23" s="3">
        <v>9</v>
      </c>
      <c r="J23" s="3">
        <v>0</v>
      </c>
      <c r="K23" s="5" t="s">
        <v>567</v>
      </c>
      <c r="L23" s="5" t="s">
        <v>989</v>
      </c>
      <c r="M23" s="5" t="s">
        <v>568</v>
      </c>
      <c r="N23" s="5" t="s">
        <v>569</v>
      </c>
      <c r="O23" s="5" t="s">
        <v>570</v>
      </c>
      <c r="P23" s="5" t="s">
        <v>571</v>
      </c>
      <c r="Q23" s="3" t="s">
        <v>540</v>
      </c>
      <c r="R23" s="3" t="s">
        <v>541</v>
      </c>
      <c r="S23" s="3" t="s">
        <v>542</v>
      </c>
      <c r="T23" s="1">
        <v>2015</v>
      </c>
      <c r="U23" s="1" t="s">
        <v>138</v>
      </c>
      <c r="V23" s="1" t="s">
        <v>139</v>
      </c>
      <c r="W23" s="1" t="s">
        <v>140</v>
      </c>
      <c r="X23" s="1" t="s">
        <v>141</v>
      </c>
      <c r="Y23" s="1" t="s">
        <v>142</v>
      </c>
      <c r="Z23" s="2" t="s">
        <v>15</v>
      </c>
      <c r="AA23" s="7" t="s">
        <v>1902</v>
      </c>
      <c r="AB23" s="2" t="s">
        <v>1841</v>
      </c>
      <c r="AC23" s="2" t="s">
        <v>14</v>
      </c>
      <c r="AD23" s="2" t="s">
        <v>15</v>
      </c>
      <c r="AE23" s="2" t="s">
        <v>35</v>
      </c>
      <c r="AF23" s="2" t="s">
        <v>46</v>
      </c>
      <c r="AG23" s="2" t="s">
        <v>1882</v>
      </c>
    </row>
    <row r="24" spans="1:33" x14ac:dyDescent="0.2">
      <c r="A24" s="22">
        <v>23</v>
      </c>
      <c r="B24" s="3">
        <v>3</v>
      </c>
      <c r="C24" s="3">
        <v>2015</v>
      </c>
      <c r="D24" s="3" t="s">
        <v>533</v>
      </c>
      <c r="E24" s="20">
        <v>42036</v>
      </c>
      <c r="F24" s="20">
        <v>42124</v>
      </c>
      <c r="G24" s="3">
        <v>109</v>
      </c>
      <c r="H24" s="8">
        <v>14</v>
      </c>
      <c r="I24" s="3">
        <v>9</v>
      </c>
      <c r="J24" s="3">
        <v>0</v>
      </c>
      <c r="K24" s="5" t="s">
        <v>567</v>
      </c>
      <c r="L24" s="5" t="s">
        <v>572</v>
      </c>
      <c r="M24" s="5" t="s">
        <v>568</v>
      </c>
      <c r="N24" s="5" t="s">
        <v>573</v>
      </c>
      <c r="O24" s="5" t="s">
        <v>570</v>
      </c>
      <c r="P24" s="5" t="s">
        <v>574</v>
      </c>
      <c r="Q24" s="3" t="s">
        <v>540</v>
      </c>
      <c r="R24" s="3" t="s">
        <v>541</v>
      </c>
      <c r="S24" s="3" t="s">
        <v>542</v>
      </c>
      <c r="T24" s="1">
        <v>2015</v>
      </c>
      <c r="U24" s="1" t="s">
        <v>143</v>
      </c>
      <c r="V24" s="1" t="s">
        <v>144</v>
      </c>
      <c r="W24" s="1" t="s">
        <v>145</v>
      </c>
      <c r="X24" s="1" t="s">
        <v>146</v>
      </c>
      <c r="Y24" s="1" t="s">
        <v>147</v>
      </c>
      <c r="Z24" s="2" t="s">
        <v>15</v>
      </c>
      <c r="AA24" s="2" t="s">
        <v>1902</v>
      </c>
      <c r="AB24" s="2" t="s">
        <v>1841</v>
      </c>
      <c r="AC24" s="2" t="s">
        <v>14</v>
      </c>
      <c r="AD24" s="2" t="s">
        <v>15</v>
      </c>
      <c r="AE24" s="2" t="s">
        <v>35</v>
      </c>
      <c r="AF24" s="2" t="s">
        <v>46</v>
      </c>
      <c r="AG24" s="2" t="s">
        <v>1882</v>
      </c>
    </row>
    <row r="25" spans="1:33" x14ac:dyDescent="0.2">
      <c r="A25" s="22">
        <v>24</v>
      </c>
      <c r="B25" s="3">
        <v>3</v>
      </c>
      <c r="C25" s="3">
        <v>2015</v>
      </c>
      <c r="D25" s="3" t="s">
        <v>533</v>
      </c>
      <c r="E25" s="20">
        <v>42036</v>
      </c>
      <c r="F25" s="20">
        <v>42124</v>
      </c>
      <c r="G25" s="3">
        <v>109</v>
      </c>
      <c r="H25" s="8">
        <v>14</v>
      </c>
      <c r="I25" s="3">
        <v>9</v>
      </c>
      <c r="J25" s="3">
        <v>0</v>
      </c>
      <c r="K25" s="5" t="s">
        <v>575</v>
      </c>
      <c r="L25" s="5" t="s">
        <v>576</v>
      </c>
      <c r="M25" s="5" t="s">
        <v>577</v>
      </c>
      <c r="N25" s="5" t="s">
        <v>578</v>
      </c>
      <c r="O25" s="5" t="s">
        <v>579</v>
      </c>
      <c r="P25" s="5" t="s">
        <v>580</v>
      </c>
      <c r="Q25" s="3" t="s">
        <v>540</v>
      </c>
      <c r="R25" s="3" t="s">
        <v>541</v>
      </c>
      <c r="S25" s="3" t="s">
        <v>542</v>
      </c>
      <c r="T25" s="1">
        <v>2015</v>
      </c>
      <c r="U25" s="1" t="s">
        <v>148</v>
      </c>
      <c r="V25" s="1" t="s">
        <v>149</v>
      </c>
      <c r="W25" s="1" t="s">
        <v>150</v>
      </c>
      <c r="X25" s="1" t="s">
        <v>151</v>
      </c>
      <c r="Y25" s="1" t="s">
        <v>152</v>
      </c>
      <c r="Z25" s="2" t="s">
        <v>15</v>
      </c>
      <c r="AA25" s="2" t="s">
        <v>1902</v>
      </c>
      <c r="AB25" s="2" t="s">
        <v>1841</v>
      </c>
      <c r="AC25" s="2" t="s">
        <v>14</v>
      </c>
      <c r="AD25" s="2" t="s">
        <v>15</v>
      </c>
      <c r="AE25" s="2" t="s">
        <v>37</v>
      </c>
      <c r="AF25" s="2" t="s">
        <v>46</v>
      </c>
      <c r="AG25" s="2" t="s">
        <v>1872</v>
      </c>
    </row>
    <row r="26" spans="1:33" x14ac:dyDescent="0.2">
      <c r="A26" s="22">
        <v>25</v>
      </c>
      <c r="B26" s="3">
        <v>3</v>
      </c>
      <c r="C26" s="3">
        <v>2015</v>
      </c>
      <c r="D26" s="3" t="s">
        <v>533</v>
      </c>
      <c r="E26" s="20">
        <v>42036</v>
      </c>
      <c r="F26" s="20">
        <v>42124</v>
      </c>
      <c r="G26" s="3">
        <v>109</v>
      </c>
      <c r="H26" s="8">
        <v>14</v>
      </c>
      <c r="I26" s="3">
        <v>9</v>
      </c>
      <c r="J26" s="3">
        <v>0</v>
      </c>
      <c r="K26" s="5" t="s">
        <v>581</v>
      </c>
      <c r="L26" s="5" t="s">
        <v>582</v>
      </c>
      <c r="M26" s="5" t="s">
        <v>583</v>
      </c>
      <c r="N26" s="5" t="s">
        <v>1492</v>
      </c>
      <c r="O26" s="5" t="s">
        <v>584</v>
      </c>
      <c r="P26" s="5" t="s">
        <v>585</v>
      </c>
      <c r="Q26" s="3" t="s">
        <v>540</v>
      </c>
      <c r="R26" s="3" t="s">
        <v>541</v>
      </c>
      <c r="S26" s="3" t="s">
        <v>542</v>
      </c>
      <c r="T26" s="1">
        <v>2015</v>
      </c>
      <c r="U26" s="1" t="s">
        <v>153</v>
      </c>
      <c r="V26" s="1" t="s">
        <v>154</v>
      </c>
      <c r="W26" s="1" t="s">
        <v>155</v>
      </c>
      <c r="X26" s="1" t="s">
        <v>156</v>
      </c>
      <c r="Y26" s="1" t="s">
        <v>157</v>
      </c>
      <c r="Z26" s="2" t="s">
        <v>71</v>
      </c>
      <c r="AA26" s="2" t="s">
        <v>1902</v>
      </c>
      <c r="AB26" s="2" t="s">
        <v>1841</v>
      </c>
      <c r="AC26" s="2" t="s">
        <v>14</v>
      </c>
      <c r="AD26" s="2" t="s">
        <v>1851</v>
      </c>
      <c r="AE26" s="2" t="s">
        <v>35</v>
      </c>
      <c r="AF26" s="2" t="s">
        <v>47</v>
      </c>
      <c r="AG26" s="2" t="s">
        <v>1851</v>
      </c>
    </row>
    <row r="27" spans="1:33" x14ac:dyDescent="0.2">
      <c r="A27" s="22">
        <v>26</v>
      </c>
      <c r="B27" s="3">
        <v>4</v>
      </c>
      <c r="C27" s="3">
        <v>2015</v>
      </c>
      <c r="D27" s="3" t="s">
        <v>534</v>
      </c>
      <c r="E27" s="20">
        <v>42125</v>
      </c>
      <c r="F27" s="20">
        <v>42216</v>
      </c>
      <c r="G27" s="3">
        <v>94</v>
      </c>
      <c r="H27" s="8">
        <v>12</v>
      </c>
      <c r="I27" s="3">
        <v>4</v>
      </c>
      <c r="J27" s="3">
        <v>0</v>
      </c>
      <c r="K27" s="5" t="s">
        <v>586</v>
      </c>
      <c r="L27" s="5" t="s">
        <v>587</v>
      </c>
      <c r="M27" s="5" t="s">
        <v>588</v>
      </c>
      <c r="N27" s="5" t="s">
        <v>589</v>
      </c>
      <c r="O27" s="5" t="s">
        <v>590</v>
      </c>
      <c r="P27" s="5" t="s">
        <v>591</v>
      </c>
      <c r="Q27" s="3" t="s">
        <v>65</v>
      </c>
      <c r="R27" s="3" t="s">
        <v>2</v>
      </c>
      <c r="S27" s="3" t="s">
        <v>84</v>
      </c>
      <c r="T27" s="1">
        <v>2015</v>
      </c>
      <c r="U27" s="1" t="s">
        <v>158</v>
      </c>
      <c r="V27" s="1" t="s">
        <v>159</v>
      </c>
      <c r="W27" s="1" t="s">
        <v>76</v>
      </c>
      <c r="X27" s="1" t="s">
        <v>160</v>
      </c>
      <c r="Y27" s="1" t="s">
        <v>161</v>
      </c>
      <c r="Z27" s="2" t="s">
        <v>1899</v>
      </c>
      <c r="AA27" s="2" t="s">
        <v>1901</v>
      </c>
      <c r="AB27" s="2" t="s">
        <v>1840</v>
      </c>
      <c r="AC27" s="2" t="s">
        <v>26</v>
      </c>
      <c r="AD27" s="2" t="s">
        <v>60</v>
      </c>
      <c r="AE27" s="2" t="s">
        <v>1863</v>
      </c>
      <c r="AF27" s="2" t="s">
        <v>45</v>
      </c>
      <c r="AG27" s="2" t="s">
        <v>54</v>
      </c>
    </row>
    <row r="28" spans="1:33" x14ac:dyDescent="0.2">
      <c r="A28" s="22">
        <v>27</v>
      </c>
      <c r="B28" s="3">
        <v>4</v>
      </c>
      <c r="C28" s="3">
        <v>2015</v>
      </c>
      <c r="D28" s="3" t="s">
        <v>534</v>
      </c>
      <c r="E28" s="20">
        <v>42125</v>
      </c>
      <c r="F28" s="20">
        <v>42216</v>
      </c>
      <c r="G28" s="3">
        <v>94</v>
      </c>
      <c r="H28" s="8">
        <v>12</v>
      </c>
      <c r="I28" s="3">
        <v>4</v>
      </c>
      <c r="J28" s="3">
        <v>0</v>
      </c>
      <c r="K28" s="5" t="s">
        <v>592</v>
      </c>
      <c r="L28" s="5" t="s">
        <v>593</v>
      </c>
      <c r="M28" s="5" t="s">
        <v>594</v>
      </c>
      <c r="N28" s="5" t="s">
        <v>595</v>
      </c>
      <c r="O28" s="5" t="s">
        <v>596</v>
      </c>
      <c r="P28" s="5" t="s">
        <v>597</v>
      </c>
      <c r="Q28" s="3" t="s">
        <v>65</v>
      </c>
      <c r="R28" s="3" t="s">
        <v>2</v>
      </c>
      <c r="S28" s="3" t="s">
        <v>84</v>
      </c>
      <c r="T28" s="1">
        <v>2015</v>
      </c>
      <c r="U28" s="1" t="s">
        <v>162</v>
      </c>
      <c r="V28" s="1" t="s">
        <v>163</v>
      </c>
      <c r="W28" s="1" t="s">
        <v>164</v>
      </c>
      <c r="X28" s="1" t="s">
        <v>165</v>
      </c>
      <c r="Y28" s="1" t="s">
        <v>166</v>
      </c>
      <c r="Z28" s="2" t="s">
        <v>1899</v>
      </c>
      <c r="AA28" s="2" t="s">
        <v>1901</v>
      </c>
      <c r="AB28" s="2" t="s">
        <v>1840</v>
      </c>
      <c r="AC28" s="2" t="s">
        <v>26</v>
      </c>
      <c r="AD28" s="2" t="s">
        <v>16</v>
      </c>
      <c r="AE28" s="2" t="s">
        <v>1863</v>
      </c>
      <c r="AF28" s="2" t="s">
        <v>46</v>
      </c>
      <c r="AG28" s="2" t="s">
        <v>1951</v>
      </c>
    </row>
    <row r="29" spans="1:33" x14ac:dyDescent="0.2">
      <c r="A29" s="22">
        <v>28</v>
      </c>
      <c r="B29" s="3">
        <v>4</v>
      </c>
      <c r="C29" s="3">
        <v>2015</v>
      </c>
      <c r="D29" s="3" t="s">
        <v>534</v>
      </c>
      <c r="E29" s="20">
        <v>42125</v>
      </c>
      <c r="F29" s="20">
        <v>42216</v>
      </c>
      <c r="G29" s="3">
        <v>94</v>
      </c>
      <c r="H29" s="8">
        <v>12</v>
      </c>
      <c r="I29" s="3">
        <v>4</v>
      </c>
      <c r="J29" s="3">
        <v>0</v>
      </c>
      <c r="K29" s="5" t="s">
        <v>598</v>
      </c>
      <c r="L29" s="5" t="s">
        <v>599</v>
      </c>
      <c r="M29" s="5" t="s">
        <v>600</v>
      </c>
      <c r="N29" s="5" t="s">
        <v>601</v>
      </c>
      <c r="O29" s="5" t="s">
        <v>602</v>
      </c>
      <c r="P29" s="5" t="s">
        <v>603</v>
      </c>
      <c r="Q29" s="3" t="s">
        <v>65</v>
      </c>
      <c r="R29" s="3" t="s">
        <v>2</v>
      </c>
      <c r="S29" s="3" t="s">
        <v>84</v>
      </c>
      <c r="T29" s="1">
        <v>2015</v>
      </c>
      <c r="U29" s="1" t="s">
        <v>167</v>
      </c>
      <c r="V29" s="1" t="s">
        <v>168</v>
      </c>
      <c r="W29" s="1" t="s">
        <v>169</v>
      </c>
      <c r="X29" s="1" t="s">
        <v>170</v>
      </c>
      <c r="Y29" s="1" t="s">
        <v>171</v>
      </c>
      <c r="Z29" s="2" t="s">
        <v>1899</v>
      </c>
      <c r="AA29" s="2" t="s">
        <v>1562</v>
      </c>
      <c r="AB29" s="2" t="s">
        <v>1839</v>
      </c>
      <c r="AC29" s="2" t="s">
        <v>1562</v>
      </c>
      <c r="AD29" s="7" t="s">
        <v>60</v>
      </c>
      <c r="AE29" s="2" t="s">
        <v>1863</v>
      </c>
      <c r="AF29" s="2" t="s">
        <v>1637</v>
      </c>
      <c r="AG29" s="2" t="s">
        <v>1952</v>
      </c>
    </row>
    <row r="30" spans="1:33" x14ac:dyDescent="0.2">
      <c r="A30" s="22">
        <v>29</v>
      </c>
      <c r="B30" s="3">
        <v>4</v>
      </c>
      <c r="C30" s="3">
        <v>2015</v>
      </c>
      <c r="D30" s="3" t="s">
        <v>534</v>
      </c>
      <c r="E30" s="20">
        <v>42125</v>
      </c>
      <c r="F30" s="20">
        <v>42216</v>
      </c>
      <c r="G30" s="3">
        <v>94</v>
      </c>
      <c r="H30" s="8">
        <v>12</v>
      </c>
      <c r="I30" s="3">
        <v>4</v>
      </c>
      <c r="J30" s="3">
        <v>0</v>
      </c>
      <c r="K30" s="5" t="s">
        <v>604</v>
      </c>
      <c r="L30" s="5" t="s">
        <v>605</v>
      </c>
      <c r="M30" s="5" t="s">
        <v>606</v>
      </c>
      <c r="N30" s="5" t="s">
        <v>607</v>
      </c>
      <c r="O30" s="5" t="s">
        <v>608</v>
      </c>
      <c r="P30" s="5" t="s">
        <v>609</v>
      </c>
      <c r="Q30" s="3" t="s">
        <v>65</v>
      </c>
      <c r="R30" s="3" t="s">
        <v>2</v>
      </c>
      <c r="S30" s="3" t="s">
        <v>84</v>
      </c>
      <c r="T30" s="1">
        <v>2015</v>
      </c>
      <c r="U30" s="1" t="s">
        <v>172</v>
      </c>
      <c r="V30" s="1" t="s">
        <v>173</v>
      </c>
      <c r="W30" s="1" t="s">
        <v>72</v>
      </c>
      <c r="X30" s="1" t="s">
        <v>174</v>
      </c>
      <c r="Y30" s="1" t="s">
        <v>175</v>
      </c>
      <c r="Z30" s="2" t="s">
        <v>15</v>
      </c>
      <c r="AA30" s="2" t="s">
        <v>1912</v>
      </c>
      <c r="AB30" s="2" t="s">
        <v>1929</v>
      </c>
      <c r="AC30" s="2" t="s">
        <v>1920</v>
      </c>
      <c r="AD30" s="2" t="s">
        <v>15</v>
      </c>
      <c r="AE30" s="2" t="s">
        <v>37</v>
      </c>
      <c r="AF30" s="2" t="s">
        <v>45</v>
      </c>
      <c r="AG30" s="2" t="s">
        <v>56</v>
      </c>
    </row>
    <row r="31" spans="1:33" x14ac:dyDescent="0.2">
      <c r="A31" s="22">
        <v>30</v>
      </c>
      <c r="B31" s="3">
        <v>5</v>
      </c>
      <c r="C31" s="3">
        <v>2016</v>
      </c>
      <c r="D31" s="3" t="s">
        <v>535</v>
      </c>
      <c r="E31" s="20">
        <v>42186</v>
      </c>
      <c r="F31" s="20">
        <v>42308</v>
      </c>
      <c r="G31" s="3">
        <v>89</v>
      </c>
      <c r="H31" s="8">
        <v>14</v>
      </c>
      <c r="I31" s="3">
        <v>4</v>
      </c>
      <c r="J31" s="3">
        <v>0</v>
      </c>
      <c r="K31" s="5" t="s">
        <v>610</v>
      </c>
      <c r="L31" s="5" t="s">
        <v>611</v>
      </c>
      <c r="M31" s="5" t="s">
        <v>612</v>
      </c>
      <c r="N31" s="5" t="s">
        <v>613</v>
      </c>
      <c r="O31" s="5" t="s">
        <v>614</v>
      </c>
      <c r="P31" s="5" t="s">
        <v>615</v>
      </c>
      <c r="Q31" s="3" t="s">
        <v>543</v>
      </c>
      <c r="R31" s="3" t="s">
        <v>544</v>
      </c>
      <c r="S31" s="3" t="s">
        <v>545</v>
      </c>
      <c r="T31" s="1">
        <v>2015</v>
      </c>
      <c r="U31" s="1" t="s">
        <v>176</v>
      </c>
      <c r="V31" s="1" t="s">
        <v>177</v>
      </c>
      <c r="W31" s="1" t="s">
        <v>178</v>
      </c>
      <c r="X31" s="1" t="s">
        <v>179</v>
      </c>
      <c r="Y31" s="1" t="s">
        <v>180</v>
      </c>
      <c r="Z31" s="2" t="s">
        <v>1899</v>
      </c>
      <c r="AA31" s="2" t="s">
        <v>1901</v>
      </c>
      <c r="AB31" s="2" t="s">
        <v>1840</v>
      </c>
      <c r="AC31" s="2" t="s">
        <v>26</v>
      </c>
      <c r="AD31" s="2" t="s">
        <v>16</v>
      </c>
      <c r="AE31" s="2" t="s">
        <v>1860</v>
      </c>
      <c r="AF31" s="2" t="s">
        <v>46</v>
      </c>
      <c r="AG31" s="2" t="s">
        <v>1953</v>
      </c>
    </row>
    <row r="32" spans="1:33" x14ac:dyDescent="0.2">
      <c r="A32" s="22">
        <v>31</v>
      </c>
      <c r="B32" s="3">
        <v>5</v>
      </c>
      <c r="C32" s="3">
        <v>2016</v>
      </c>
      <c r="D32" s="3" t="s">
        <v>535</v>
      </c>
      <c r="E32" s="20">
        <v>42186</v>
      </c>
      <c r="F32" s="20">
        <v>42308</v>
      </c>
      <c r="G32" s="3">
        <v>89</v>
      </c>
      <c r="H32" s="8">
        <v>14</v>
      </c>
      <c r="I32" s="3">
        <v>4</v>
      </c>
      <c r="J32" s="3">
        <v>0</v>
      </c>
      <c r="K32" s="5" t="s">
        <v>616</v>
      </c>
      <c r="L32" s="5" t="s">
        <v>617</v>
      </c>
      <c r="M32" s="5" t="s">
        <v>618</v>
      </c>
      <c r="N32" s="5" t="s">
        <v>619</v>
      </c>
      <c r="O32" s="5" t="s">
        <v>620</v>
      </c>
      <c r="P32" s="5" t="s">
        <v>621</v>
      </c>
      <c r="Q32" s="3" t="s">
        <v>543</v>
      </c>
      <c r="R32" s="3" t="s">
        <v>544</v>
      </c>
      <c r="S32" s="3" t="s">
        <v>545</v>
      </c>
      <c r="T32" s="1">
        <v>2015</v>
      </c>
      <c r="U32" s="1" t="s">
        <v>181</v>
      </c>
      <c r="V32" s="1" t="s">
        <v>182</v>
      </c>
      <c r="W32" s="1" t="s">
        <v>183</v>
      </c>
      <c r="X32" s="1" t="s">
        <v>184</v>
      </c>
      <c r="Y32" s="1" t="s">
        <v>185</v>
      </c>
      <c r="Z32" s="2" t="s">
        <v>1899</v>
      </c>
      <c r="AA32" s="2" t="s">
        <v>1902</v>
      </c>
      <c r="AB32" s="2" t="s">
        <v>1841</v>
      </c>
      <c r="AC32" s="2" t="s">
        <v>14</v>
      </c>
      <c r="AD32" s="2" t="s">
        <v>16</v>
      </c>
      <c r="AE32" s="2" t="s">
        <v>1863</v>
      </c>
      <c r="AF32" s="2" t="s">
        <v>46</v>
      </c>
      <c r="AG32" s="2" t="s">
        <v>1945</v>
      </c>
    </row>
    <row r="33" spans="1:33" x14ac:dyDescent="0.2">
      <c r="A33" s="22">
        <v>32</v>
      </c>
      <c r="B33" s="3">
        <v>5</v>
      </c>
      <c r="C33" s="3">
        <v>2016</v>
      </c>
      <c r="D33" s="3" t="s">
        <v>535</v>
      </c>
      <c r="E33" s="20">
        <v>42186</v>
      </c>
      <c r="F33" s="20">
        <v>42308</v>
      </c>
      <c r="G33" s="3">
        <v>89</v>
      </c>
      <c r="H33" s="8">
        <v>14</v>
      </c>
      <c r="I33" s="3">
        <v>4</v>
      </c>
      <c r="J33" s="3">
        <v>0</v>
      </c>
      <c r="K33" s="5" t="s">
        <v>622</v>
      </c>
      <c r="L33" s="5" t="s">
        <v>623</v>
      </c>
      <c r="M33" s="5" t="s">
        <v>624</v>
      </c>
      <c r="N33" s="5" t="s">
        <v>625</v>
      </c>
      <c r="O33" s="5" t="s">
        <v>626</v>
      </c>
      <c r="P33" s="5" t="s">
        <v>627</v>
      </c>
      <c r="Q33" s="3" t="s">
        <v>543</v>
      </c>
      <c r="R33" s="3" t="s">
        <v>544</v>
      </c>
      <c r="S33" s="3" t="s">
        <v>545</v>
      </c>
      <c r="T33" s="1">
        <v>2015</v>
      </c>
      <c r="U33" s="1" t="s">
        <v>186</v>
      </c>
      <c r="V33" s="1" t="s">
        <v>187</v>
      </c>
      <c r="W33" s="1" t="s">
        <v>150</v>
      </c>
      <c r="X33" s="1" t="s">
        <v>188</v>
      </c>
      <c r="Y33" s="1" t="s">
        <v>189</v>
      </c>
      <c r="Z33" s="2" t="s">
        <v>15</v>
      </c>
      <c r="AA33" s="2" t="s">
        <v>1901</v>
      </c>
      <c r="AB33" s="2" t="s">
        <v>1840</v>
      </c>
      <c r="AC33" s="2" t="s">
        <v>34</v>
      </c>
      <c r="AD33" s="2" t="s">
        <v>15</v>
      </c>
      <c r="AE33" s="2" t="s">
        <v>36</v>
      </c>
      <c r="AF33" s="2" t="s">
        <v>46</v>
      </c>
      <c r="AG33" s="2" t="s">
        <v>1903</v>
      </c>
    </row>
    <row r="34" spans="1:33" x14ac:dyDescent="0.2">
      <c r="A34" s="22">
        <v>33</v>
      </c>
      <c r="B34" s="3">
        <v>5</v>
      </c>
      <c r="C34" s="3">
        <v>2016</v>
      </c>
      <c r="D34" s="3" t="s">
        <v>535</v>
      </c>
      <c r="E34" s="20">
        <v>42186</v>
      </c>
      <c r="F34" s="20">
        <v>42308</v>
      </c>
      <c r="G34" s="3">
        <v>89</v>
      </c>
      <c r="H34" s="8">
        <v>14</v>
      </c>
      <c r="I34" s="3">
        <v>4</v>
      </c>
      <c r="J34" s="3">
        <v>0</v>
      </c>
      <c r="K34" s="5" t="s">
        <v>628</v>
      </c>
      <c r="L34" s="5" t="s">
        <v>629</v>
      </c>
      <c r="M34" s="5" t="s">
        <v>630</v>
      </c>
      <c r="N34" s="5" t="s">
        <v>631</v>
      </c>
      <c r="O34" s="5" t="s">
        <v>632</v>
      </c>
      <c r="P34" s="5" t="s">
        <v>633</v>
      </c>
      <c r="Q34" s="3" t="s">
        <v>543</v>
      </c>
      <c r="R34" s="3" t="s">
        <v>544</v>
      </c>
      <c r="S34" s="3" t="s">
        <v>545</v>
      </c>
      <c r="T34" s="1">
        <v>2015</v>
      </c>
      <c r="U34" s="1" t="s">
        <v>190</v>
      </c>
      <c r="V34" s="1" t="s">
        <v>191</v>
      </c>
      <c r="W34" s="1" t="s">
        <v>135</v>
      </c>
      <c r="X34" s="1" t="s">
        <v>192</v>
      </c>
      <c r="Y34" s="1" t="s">
        <v>193</v>
      </c>
      <c r="Z34" s="2" t="s">
        <v>991</v>
      </c>
      <c r="AA34" s="2" t="s">
        <v>2069</v>
      </c>
      <c r="AB34" s="2" t="s">
        <v>59</v>
      </c>
      <c r="AC34" s="2" t="s">
        <v>1566</v>
      </c>
      <c r="AD34" s="2" t="s">
        <v>1852</v>
      </c>
      <c r="AE34" s="2" t="s">
        <v>38</v>
      </c>
      <c r="AF34" s="2" t="s">
        <v>45</v>
      </c>
      <c r="AG34" s="2" t="s">
        <v>56</v>
      </c>
    </row>
    <row r="35" spans="1:33" x14ac:dyDescent="0.2">
      <c r="A35" s="22">
        <v>34</v>
      </c>
      <c r="B35" s="3">
        <v>6</v>
      </c>
      <c r="C35" s="3">
        <v>2016</v>
      </c>
      <c r="D35" s="3" t="s">
        <v>532</v>
      </c>
      <c r="E35" s="20">
        <v>42309</v>
      </c>
      <c r="F35" s="20">
        <v>42400</v>
      </c>
      <c r="G35" s="3">
        <v>129</v>
      </c>
      <c r="H35" s="8">
        <v>11</v>
      </c>
      <c r="I35" s="3">
        <v>6</v>
      </c>
      <c r="J35" s="3">
        <v>1</v>
      </c>
      <c r="K35" s="5" t="s">
        <v>634</v>
      </c>
      <c r="L35" s="5" t="s">
        <v>635</v>
      </c>
      <c r="M35" s="5" t="s">
        <v>636</v>
      </c>
      <c r="N35" s="5" t="s">
        <v>637</v>
      </c>
      <c r="O35" s="5" t="s">
        <v>638</v>
      </c>
      <c r="P35" s="5" t="s">
        <v>639</v>
      </c>
      <c r="Q35" s="3" t="s">
        <v>64</v>
      </c>
      <c r="R35" s="3" t="s">
        <v>73</v>
      </c>
      <c r="S35" s="3" t="s">
        <v>83</v>
      </c>
      <c r="T35" s="1">
        <v>2015</v>
      </c>
      <c r="U35" s="1" t="s">
        <v>194</v>
      </c>
      <c r="V35" s="1" t="s">
        <v>195</v>
      </c>
      <c r="W35" s="1" t="s">
        <v>196</v>
      </c>
      <c r="X35" s="1" t="s">
        <v>197</v>
      </c>
      <c r="Y35" s="1" t="s">
        <v>198</v>
      </c>
      <c r="Z35" s="2" t="s">
        <v>1899</v>
      </c>
      <c r="AA35" s="2" t="s">
        <v>1902</v>
      </c>
      <c r="AB35" s="2" t="s">
        <v>1841</v>
      </c>
      <c r="AC35" s="2" t="s">
        <v>14</v>
      </c>
      <c r="AD35" s="2" t="s">
        <v>60</v>
      </c>
      <c r="AE35" s="2" t="s">
        <v>1863</v>
      </c>
      <c r="AF35" s="2" t="s">
        <v>46</v>
      </c>
      <c r="AG35" s="2" t="s">
        <v>1946</v>
      </c>
    </row>
    <row r="36" spans="1:33" x14ac:dyDescent="0.2">
      <c r="A36" s="22">
        <v>35</v>
      </c>
      <c r="B36" s="3">
        <v>6</v>
      </c>
      <c r="C36" s="3">
        <v>2016</v>
      </c>
      <c r="D36" s="3" t="s">
        <v>532</v>
      </c>
      <c r="E36" s="20">
        <v>42309</v>
      </c>
      <c r="F36" s="20">
        <v>42400</v>
      </c>
      <c r="G36" s="3">
        <v>129</v>
      </c>
      <c r="H36" s="8">
        <v>11</v>
      </c>
      <c r="I36" s="3">
        <v>6</v>
      </c>
      <c r="J36" s="3">
        <v>1</v>
      </c>
      <c r="K36" s="5" t="s">
        <v>640</v>
      </c>
      <c r="L36" s="5" t="s">
        <v>641</v>
      </c>
      <c r="M36" s="5" t="s">
        <v>642</v>
      </c>
      <c r="N36" s="5" t="s">
        <v>643</v>
      </c>
      <c r="O36" s="5" t="s">
        <v>644</v>
      </c>
      <c r="P36" s="5" t="s">
        <v>645</v>
      </c>
      <c r="Q36" s="3" t="s">
        <v>64</v>
      </c>
      <c r="R36" s="3" t="s">
        <v>73</v>
      </c>
      <c r="S36" s="3" t="s">
        <v>83</v>
      </c>
      <c r="T36" s="1">
        <v>2016</v>
      </c>
      <c r="U36" s="1" t="s">
        <v>199</v>
      </c>
      <c r="V36" s="1" t="s">
        <v>200</v>
      </c>
      <c r="W36" s="1" t="s">
        <v>120</v>
      </c>
      <c r="X36" s="1" t="s">
        <v>201</v>
      </c>
      <c r="Y36" s="1" t="s">
        <v>202</v>
      </c>
      <c r="Z36" s="2" t="s">
        <v>1899</v>
      </c>
      <c r="AA36" s="2" t="s">
        <v>1901</v>
      </c>
      <c r="AB36" s="2" t="s">
        <v>1840</v>
      </c>
      <c r="AC36" s="2" t="s">
        <v>26</v>
      </c>
      <c r="AD36" s="2" t="s">
        <v>60</v>
      </c>
      <c r="AE36" s="2" t="s">
        <v>1863</v>
      </c>
      <c r="AF36" s="2" t="s">
        <v>46</v>
      </c>
      <c r="AG36" s="2" t="s">
        <v>1882</v>
      </c>
    </row>
    <row r="37" spans="1:33" x14ac:dyDescent="0.2">
      <c r="A37" s="22">
        <v>36</v>
      </c>
      <c r="B37" s="3">
        <v>6</v>
      </c>
      <c r="C37" s="3">
        <v>2016</v>
      </c>
      <c r="D37" s="3" t="s">
        <v>532</v>
      </c>
      <c r="E37" s="20">
        <v>42309</v>
      </c>
      <c r="F37" s="20">
        <v>42400</v>
      </c>
      <c r="G37" s="3">
        <v>129</v>
      </c>
      <c r="H37" s="8">
        <v>11</v>
      </c>
      <c r="I37" s="3">
        <v>6</v>
      </c>
      <c r="J37" s="3">
        <v>1</v>
      </c>
      <c r="K37" s="5" t="s">
        <v>646</v>
      </c>
      <c r="L37" s="5" t="s">
        <v>647</v>
      </c>
      <c r="M37" s="5" t="s">
        <v>648</v>
      </c>
      <c r="N37" s="5" t="s">
        <v>649</v>
      </c>
      <c r="O37" s="5" t="s">
        <v>650</v>
      </c>
      <c r="P37" s="5" t="s">
        <v>651</v>
      </c>
      <c r="Q37" s="3" t="s">
        <v>64</v>
      </c>
      <c r="R37" s="3" t="s">
        <v>73</v>
      </c>
      <c r="S37" s="3" t="s">
        <v>83</v>
      </c>
      <c r="T37" s="1">
        <v>2016</v>
      </c>
      <c r="U37" s="1" t="s">
        <v>203</v>
      </c>
      <c r="V37" s="1" t="s">
        <v>204</v>
      </c>
      <c r="W37" s="1" t="s">
        <v>205</v>
      </c>
      <c r="X37" s="1" t="s">
        <v>206</v>
      </c>
      <c r="Y37" s="1" t="s">
        <v>207</v>
      </c>
      <c r="Z37" s="2" t="s">
        <v>1899</v>
      </c>
      <c r="AA37" s="2" t="s">
        <v>1901</v>
      </c>
      <c r="AB37" s="2" t="s">
        <v>1840</v>
      </c>
      <c r="AC37" s="2" t="s">
        <v>26</v>
      </c>
      <c r="AD37" s="2" t="s">
        <v>16</v>
      </c>
      <c r="AE37" s="2" t="s">
        <v>1941</v>
      </c>
      <c r="AF37" s="2" t="s">
        <v>46</v>
      </c>
      <c r="AG37" s="2" t="s">
        <v>1942</v>
      </c>
    </row>
    <row r="38" spans="1:33" x14ac:dyDescent="0.2">
      <c r="A38" s="22">
        <v>37</v>
      </c>
      <c r="B38" s="3">
        <v>6</v>
      </c>
      <c r="C38" s="3">
        <v>2016</v>
      </c>
      <c r="D38" s="3" t="s">
        <v>532</v>
      </c>
      <c r="E38" s="20">
        <v>42309</v>
      </c>
      <c r="F38" s="20">
        <v>42400</v>
      </c>
      <c r="G38" s="3">
        <v>129</v>
      </c>
      <c r="H38" s="8">
        <v>11</v>
      </c>
      <c r="I38" s="3">
        <v>6</v>
      </c>
      <c r="J38" s="3">
        <v>1</v>
      </c>
      <c r="K38" s="5" t="s">
        <v>652</v>
      </c>
      <c r="L38" s="5" t="s">
        <v>653</v>
      </c>
      <c r="M38" s="5" t="s">
        <v>654</v>
      </c>
      <c r="N38" s="5" t="s">
        <v>655</v>
      </c>
      <c r="O38" s="5" t="s">
        <v>656</v>
      </c>
      <c r="P38" s="5" t="s">
        <v>657</v>
      </c>
      <c r="Q38" s="3" t="s">
        <v>64</v>
      </c>
      <c r="R38" s="3" t="s">
        <v>73</v>
      </c>
      <c r="S38" s="3" t="s">
        <v>83</v>
      </c>
      <c r="T38" s="1">
        <v>2015</v>
      </c>
      <c r="U38" s="1" t="s">
        <v>208</v>
      </c>
      <c r="V38" s="1" t="s">
        <v>209</v>
      </c>
      <c r="W38" s="1" t="s">
        <v>210</v>
      </c>
      <c r="X38" s="1" t="s">
        <v>211</v>
      </c>
      <c r="Y38" s="1" t="s">
        <v>212</v>
      </c>
      <c r="Z38" s="2" t="s">
        <v>15</v>
      </c>
      <c r="AA38" s="2" t="s">
        <v>1902</v>
      </c>
      <c r="AB38" s="2" t="s">
        <v>1841</v>
      </c>
      <c r="AC38" s="2" t="s">
        <v>1921</v>
      </c>
      <c r="AD38" s="2" t="s">
        <v>15</v>
      </c>
      <c r="AE38" s="2" t="s">
        <v>1894</v>
      </c>
      <c r="AF38" s="2" t="s">
        <v>45</v>
      </c>
      <c r="AG38" s="2" t="s">
        <v>54</v>
      </c>
    </row>
    <row r="39" spans="1:33" ht="12.75" customHeight="1" x14ac:dyDescent="0.2">
      <c r="A39" s="22">
        <v>38</v>
      </c>
      <c r="B39" s="3">
        <v>6</v>
      </c>
      <c r="C39" s="3">
        <v>2016</v>
      </c>
      <c r="D39" s="3" t="s">
        <v>532</v>
      </c>
      <c r="E39" s="20">
        <v>42309</v>
      </c>
      <c r="F39" s="20">
        <v>42400</v>
      </c>
      <c r="G39" s="3">
        <v>129</v>
      </c>
      <c r="H39" s="8">
        <v>11</v>
      </c>
      <c r="I39" s="3">
        <v>6</v>
      </c>
      <c r="J39" s="3">
        <v>1</v>
      </c>
      <c r="K39" s="5" t="s">
        <v>658</v>
      </c>
      <c r="L39" s="5" t="s">
        <v>1561</v>
      </c>
      <c r="M39" s="5" t="s">
        <v>659</v>
      </c>
      <c r="N39" s="5" t="s">
        <v>1559</v>
      </c>
      <c r="O39" s="5" t="s">
        <v>1838</v>
      </c>
      <c r="P39" s="54" t="s">
        <v>1560</v>
      </c>
      <c r="Q39" s="3" t="s">
        <v>64</v>
      </c>
      <c r="R39" s="3" t="s">
        <v>73</v>
      </c>
      <c r="S39" s="3" t="s">
        <v>83</v>
      </c>
      <c r="T39" s="1">
        <v>2016</v>
      </c>
      <c r="U39" s="1" t="s">
        <v>213</v>
      </c>
      <c r="V39" s="1" t="s">
        <v>214</v>
      </c>
      <c r="W39" s="1" t="s">
        <v>215</v>
      </c>
      <c r="X39" s="1" t="s">
        <v>216</v>
      </c>
      <c r="Y39" s="1" t="s">
        <v>217</v>
      </c>
      <c r="Z39" s="2" t="s">
        <v>15</v>
      </c>
      <c r="AA39" s="2" t="s">
        <v>1901</v>
      </c>
      <c r="AB39" s="2" t="s">
        <v>1840</v>
      </c>
      <c r="AC39" s="2" t="s">
        <v>34</v>
      </c>
      <c r="AD39" s="2" t="s">
        <v>15</v>
      </c>
      <c r="AE39" s="2" t="s">
        <v>36</v>
      </c>
      <c r="AF39" s="2" t="s">
        <v>46</v>
      </c>
      <c r="AG39" s="2" t="s">
        <v>1882</v>
      </c>
    </row>
    <row r="40" spans="1:33" x14ac:dyDescent="0.2">
      <c r="A40" s="22">
        <v>39</v>
      </c>
      <c r="B40" s="3">
        <v>6</v>
      </c>
      <c r="C40" s="3">
        <v>2016</v>
      </c>
      <c r="D40" s="3" t="s">
        <v>532</v>
      </c>
      <c r="E40" s="20">
        <v>42309</v>
      </c>
      <c r="F40" s="20">
        <v>42400</v>
      </c>
      <c r="G40" s="3">
        <v>129</v>
      </c>
      <c r="H40" s="8">
        <v>11</v>
      </c>
      <c r="I40" s="3">
        <v>6</v>
      </c>
      <c r="J40" s="3">
        <v>1</v>
      </c>
      <c r="K40" s="5" t="s">
        <v>660</v>
      </c>
      <c r="L40" s="5" t="s">
        <v>661</v>
      </c>
      <c r="M40" s="5" t="s">
        <v>662</v>
      </c>
      <c r="N40" s="5" t="s">
        <v>663</v>
      </c>
      <c r="O40" s="5" t="s">
        <v>664</v>
      </c>
      <c r="P40" s="5" t="s">
        <v>665</v>
      </c>
      <c r="Q40" s="3" t="s">
        <v>64</v>
      </c>
      <c r="R40" s="3" t="s">
        <v>73</v>
      </c>
      <c r="S40" s="3" t="s">
        <v>83</v>
      </c>
      <c r="T40" s="1">
        <v>2016</v>
      </c>
      <c r="U40" s="1" t="s">
        <v>218</v>
      </c>
      <c r="V40" s="1" t="s">
        <v>219</v>
      </c>
      <c r="W40" s="1" t="s">
        <v>135</v>
      </c>
      <c r="X40" s="1" t="s">
        <v>220</v>
      </c>
      <c r="Y40" s="1" t="s">
        <v>221</v>
      </c>
      <c r="Z40" s="2" t="s">
        <v>991</v>
      </c>
      <c r="AA40" s="2" t="s">
        <v>2069</v>
      </c>
      <c r="AB40" s="2" t="s">
        <v>59</v>
      </c>
      <c r="AC40" s="2" t="s">
        <v>1566</v>
      </c>
      <c r="AD40" s="2" t="s">
        <v>61</v>
      </c>
      <c r="AE40" s="2" t="s">
        <v>38</v>
      </c>
      <c r="AF40" s="2" t="s">
        <v>45</v>
      </c>
      <c r="AG40" s="2" t="s">
        <v>56</v>
      </c>
    </row>
    <row r="41" spans="1:33" x14ac:dyDescent="0.2">
      <c r="A41" s="22">
        <v>40</v>
      </c>
      <c r="B41" s="3">
        <v>7</v>
      </c>
      <c r="C41" s="3">
        <v>2016</v>
      </c>
      <c r="D41" s="3" t="s">
        <v>533</v>
      </c>
      <c r="E41" s="20">
        <v>42401</v>
      </c>
      <c r="F41" s="20">
        <v>42490</v>
      </c>
      <c r="G41" s="3">
        <v>100</v>
      </c>
      <c r="H41" s="8">
        <v>11</v>
      </c>
      <c r="I41" s="3">
        <v>4</v>
      </c>
      <c r="J41" s="3">
        <v>1</v>
      </c>
      <c r="K41" s="5" t="s">
        <v>666</v>
      </c>
      <c r="L41" s="5" t="s">
        <v>667</v>
      </c>
      <c r="M41" s="5" t="s">
        <v>668</v>
      </c>
      <c r="N41" s="5" t="s">
        <v>669</v>
      </c>
      <c r="O41" s="5" t="s">
        <v>670</v>
      </c>
      <c r="P41" s="5" t="s">
        <v>671</v>
      </c>
      <c r="Q41" s="3" t="s">
        <v>546</v>
      </c>
      <c r="R41" s="3" t="s">
        <v>547</v>
      </c>
      <c r="S41" s="3" t="s">
        <v>548</v>
      </c>
      <c r="T41" s="1">
        <v>2016</v>
      </c>
      <c r="U41" s="1" t="s">
        <v>222</v>
      </c>
      <c r="V41" s="1" t="s">
        <v>223</v>
      </c>
      <c r="Y41" s="1" t="s">
        <v>224</v>
      </c>
      <c r="Z41" s="2" t="s">
        <v>1899</v>
      </c>
      <c r="AA41" s="2" t="s">
        <v>1902</v>
      </c>
      <c r="AB41" s="2" t="s">
        <v>1841</v>
      </c>
      <c r="AC41" s="2" t="s">
        <v>14</v>
      </c>
      <c r="AD41" s="2" t="s">
        <v>60</v>
      </c>
      <c r="AE41" s="2" t="s">
        <v>1863</v>
      </c>
      <c r="AF41" s="2" t="s">
        <v>46</v>
      </c>
      <c r="AG41" s="2" t="s">
        <v>1882</v>
      </c>
    </row>
    <row r="42" spans="1:33" x14ac:dyDescent="0.2">
      <c r="A42" s="22">
        <v>41</v>
      </c>
      <c r="B42" s="3">
        <v>7</v>
      </c>
      <c r="C42" s="3">
        <v>2016</v>
      </c>
      <c r="D42" s="3" t="s">
        <v>533</v>
      </c>
      <c r="E42" s="20">
        <v>42401</v>
      </c>
      <c r="F42" s="20">
        <v>42490</v>
      </c>
      <c r="G42" s="3">
        <v>100</v>
      </c>
      <c r="H42" s="8">
        <v>11</v>
      </c>
      <c r="I42" s="3">
        <v>4</v>
      </c>
      <c r="J42" s="3">
        <v>1</v>
      </c>
      <c r="K42" s="5" t="s">
        <v>672</v>
      </c>
      <c r="L42" s="5" t="s">
        <v>673</v>
      </c>
      <c r="M42" s="5" t="s">
        <v>674</v>
      </c>
      <c r="N42" s="5" t="s">
        <v>675</v>
      </c>
      <c r="O42" s="5" t="s">
        <v>676</v>
      </c>
      <c r="P42" s="5" t="s">
        <v>677</v>
      </c>
      <c r="Q42" s="3" t="s">
        <v>546</v>
      </c>
      <c r="R42" s="3" t="s">
        <v>547</v>
      </c>
      <c r="S42" s="3" t="s">
        <v>548</v>
      </c>
      <c r="T42" s="1">
        <v>2016</v>
      </c>
      <c r="U42" s="1" t="s">
        <v>225</v>
      </c>
      <c r="V42" s="1" t="s">
        <v>226</v>
      </c>
      <c r="W42" s="1" t="s">
        <v>227</v>
      </c>
      <c r="X42" s="1" t="s">
        <v>228</v>
      </c>
      <c r="Y42" s="1" t="s">
        <v>229</v>
      </c>
      <c r="Z42" s="2" t="s">
        <v>1899</v>
      </c>
      <c r="AA42" s="2" t="s">
        <v>1902</v>
      </c>
      <c r="AB42" s="2" t="s">
        <v>1841</v>
      </c>
      <c r="AC42" s="2" t="s">
        <v>14</v>
      </c>
      <c r="AD42" s="2" t="s">
        <v>60</v>
      </c>
      <c r="AE42" s="2" t="s">
        <v>1863</v>
      </c>
      <c r="AF42" s="2" t="s">
        <v>46</v>
      </c>
      <c r="AG42" s="2" t="s">
        <v>1875</v>
      </c>
    </row>
    <row r="43" spans="1:33" x14ac:dyDescent="0.2">
      <c r="A43" s="22">
        <v>42</v>
      </c>
      <c r="B43" s="3">
        <v>7</v>
      </c>
      <c r="C43" s="3">
        <v>2016</v>
      </c>
      <c r="D43" s="3" t="s">
        <v>533</v>
      </c>
      <c r="E43" s="20">
        <v>42401</v>
      </c>
      <c r="F43" s="20">
        <v>42490</v>
      </c>
      <c r="G43" s="3">
        <v>100</v>
      </c>
      <c r="H43" s="8">
        <v>11</v>
      </c>
      <c r="I43" s="3">
        <v>4</v>
      </c>
      <c r="J43" s="3">
        <v>1</v>
      </c>
      <c r="K43" s="5" t="s">
        <v>678</v>
      </c>
      <c r="L43" s="5" t="s">
        <v>679</v>
      </c>
      <c r="M43" s="5" t="s">
        <v>680</v>
      </c>
      <c r="N43" s="5" t="s">
        <v>681</v>
      </c>
      <c r="O43" s="5" t="s">
        <v>682</v>
      </c>
      <c r="P43" s="5" t="s">
        <v>683</v>
      </c>
      <c r="Q43" s="3" t="s">
        <v>546</v>
      </c>
      <c r="R43" s="3" t="s">
        <v>547</v>
      </c>
      <c r="S43" s="3" t="s">
        <v>548</v>
      </c>
      <c r="T43" s="1">
        <v>2016</v>
      </c>
      <c r="U43" s="1" t="s">
        <v>230</v>
      </c>
      <c r="V43" s="1" t="s">
        <v>231</v>
      </c>
      <c r="W43" s="1" t="s">
        <v>76</v>
      </c>
      <c r="X43" s="1" t="s">
        <v>232</v>
      </c>
      <c r="Y43" s="1" t="s">
        <v>233</v>
      </c>
      <c r="Z43" s="2" t="s">
        <v>1899</v>
      </c>
      <c r="AA43" s="2" t="s">
        <v>1901</v>
      </c>
      <c r="AB43" s="2" t="s">
        <v>1840</v>
      </c>
      <c r="AC43" s="2" t="s">
        <v>26</v>
      </c>
      <c r="AD43" s="2" t="s">
        <v>16</v>
      </c>
      <c r="AE43" s="2" t="s">
        <v>1863</v>
      </c>
      <c r="AF43" s="2" t="s">
        <v>46</v>
      </c>
      <c r="AG43" s="2" t="s">
        <v>48</v>
      </c>
    </row>
    <row r="44" spans="1:33" x14ac:dyDescent="0.2">
      <c r="A44" s="22">
        <v>43</v>
      </c>
      <c r="B44" s="3">
        <v>7</v>
      </c>
      <c r="C44" s="3">
        <v>2016</v>
      </c>
      <c r="D44" s="3" t="s">
        <v>533</v>
      </c>
      <c r="E44" s="20">
        <v>42401</v>
      </c>
      <c r="F44" s="20">
        <v>42490</v>
      </c>
      <c r="G44" s="3">
        <v>100</v>
      </c>
      <c r="H44" s="8">
        <v>11</v>
      </c>
      <c r="I44" s="3">
        <v>4</v>
      </c>
      <c r="J44" s="3">
        <v>1</v>
      </c>
      <c r="K44" s="5" t="s">
        <v>684</v>
      </c>
      <c r="L44" s="5" t="s">
        <v>685</v>
      </c>
      <c r="M44" s="5" t="s">
        <v>686</v>
      </c>
      <c r="N44" s="5" t="s">
        <v>687</v>
      </c>
      <c r="O44" s="5" t="s">
        <v>688</v>
      </c>
      <c r="P44" s="5" t="s">
        <v>689</v>
      </c>
      <c r="Q44" s="3" t="s">
        <v>546</v>
      </c>
      <c r="R44" s="3" t="s">
        <v>547</v>
      </c>
      <c r="S44" s="3" t="s">
        <v>548</v>
      </c>
      <c r="T44" s="1">
        <v>2016</v>
      </c>
      <c r="U44" s="1" t="s">
        <v>234</v>
      </c>
      <c r="V44" s="1" t="s">
        <v>235</v>
      </c>
      <c r="W44" s="1" t="s">
        <v>236</v>
      </c>
      <c r="X44" s="1" t="s">
        <v>237</v>
      </c>
      <c r="Y44" s="1" t="s">
        <v>238</v>
      </c>
      <c r="Z44" s="2" t="s">
        <v>1899</v>
      </c>
      <c r="AA44" s="2" t="s">
        <v>1901</v>
      </c>
      <c r="AB44" s="2" t="s">
        <v>1840</v>
      </c>
      <c r="AC44" s="2" t="s">
        <v>26</v>
      </c>
      <c r="AD44" s="2" t="s">
        <v>16</v>
      </c>
      <c r="AE44" s="2" t="s">
        <v>1860</v>
      </c>
      <c r="AF44" s="2" t="s">
        <v>46</v>
      </c>
      <c r="AG44" s="2" t="s">
        <v>1961</v>
      </c>
    </row>
    <row r="45" spans="1:33" x14ac:dyDescent="0.2">
      <c r="A45" s="22">
        <v>44</v>
      </c>
      <c r="B45" s="3">
        <v>7</v>
      </c>
      <c r="C45" s="3">
        <v>2016</v>
      </c>
      <c r="D45" s="3" t="s">
        <v>533</v>
      </c>
      <c r="E45" s="20">
        <v>42401</v>
      </c>
      <c r="F45" s="20">
        <v>42490</v>
      </c>
      <c r="G45" s="3">
        <v>100</v>
      </c>
      <c r="H45" s="8">
        <v>11</v>
      </c>
      <c r="I45" s="3">
        <v>4</v>
      </c>
      <c r="J45" s="3">
        <v>1</v>
      </c>
      <c r="K45" s="5" t="s">
        <v>690</v>
      </c>
      <c r="L45" s="5" t="s">
        <v>691</v>
      </c>
      <c r="M45" s="5" t="s">
        <v>692</v>
      </c>
      <c r="N45" s="5" t="s">
        <v>693</v>
      </c>
      <c r="O45" s="5" t="s">
        <v>694</v>
      </c>
      <c r="P45" s="5" t="s">
        <v>695</v>
      </c>
      <c r="Q45" s="3" t="s">
        <v>546</v>
      </c>
      <c r="R45" s="3" t="s">
        <v>547</v>
      </c>
      <c r="S45" s="3" t="s">
        <v>548</v>
      </c>
      <c r="T45" s="1">
        <v>2016</v>
      </c>
      <c r="U45" s="1" t="s">
        <v>239</v>
      </c>
      <c r="V45" s="1" t="s">
        <v>240</v>
      </c>
      <c r="W45" s="1" t="s">
        <v>227</v>
      </c>
      <c r="X45" s="1" t="s">
        <v>241</v>
      </c>
      <c r="Y45" s="1" t="s">
        <v>242</v>
      </c>
      <c r="Z45" s="2" t="s">
        <v>1899</v>
      </c>
      <c r="AA45" s="2" t="s">
        <v>1901</v>
      </c>
      <c r="AB45" s="2" t="s">
        <v>1840</v>
      </c>
      <c r="AC45" s="2" t="s">
        <v>26</v>
      </c>
      <c r="AD45" s="2" t="s">
        <v>16</v>
      </c>
      <c r="AE45" s="2" t="s">
        <v>1863</v>
      </c>
      <c r="AF45" s="2" t="s">
        <v>46</v>
      </c>
      <c r="AG45" s="2" t="s">
        <v>1903</v>
      </c>
    </row>
    <row r="46" spans="1:33" x14ac:dyDescent="0.2">
      <c r="A46" s="22">
        <v>45</v>
      </c>
      <c r="B46" s="3">
        <v>8</v>
      </c>
      <c r="C46" s="3">
        <v>2016</v>
      </c>
      <c r="D46" s="3" t="s">
        <v>534</v>
      </c>
      <c r="E46" s="20">
        <v>42461</v>
      </c>
      <c r="F46" s="20">
        <v>42613</v>
      </c>
      <c r="G46" s="3">
        <v>129</v>
      </c>
      <c r="H46" s="8">
        <v>9</v>
      </c>
      <c r="I46" s="3">
        <v>4</v>
      </c>
      <c r="J46" s="3">
        <v>0</v>
      </c>
      <c r="K46" s="5" t="s">
        <v>696</v>
      </c>
      <c r="L46" s="5" t="s">
        <v>697</v>
      </c>
      <c r="M46" s="5" t="s">
        <v>698</v>
      </c>
      <c r="N46" s="5" t="s">
        <v>699</v>
      </c>
      <c r="O46" s="5" t="s">
        <v>700</v>
      </c>
      <c r="P46" s="5" t="s">
        <v>701</v>
      </c>
      <c r="Q46" s="3" t="s">
        <v>63</v>
      </c>
      <c r="R46" s="3" t="s">
        <v>4</v>
      </c>
      <c r="S46" s="3" t="s">
        <v>82</v>
      </c>
      <c r="T46" s="1">
        <v>2016</v>
      </c>
      <c r="U46" s="1" t="s">
        <v>199</v>
      </c>
      <c r="V46" s="1" t="s">
        <v>243</v>
      </c>
      <c r="W46" s="1" t="s">
        <v>244</v>
      </c>
      <c r="X46" s="1" t="s">
        <v>245</v>
      </c>
      <c r="Y46" s="1" t="s">
        <v>246</v>
      </c>
      <c r="Z46" s="2" t="s">
        <v>1899</v>
      </c>
      <c r="AA46" s="2" t="s">
        <v>1901</v>
      </c>
      <c r="AB46" s="2" t="s">
        <v>1840</v>
      </c>
      <c r="AC46" s="2" t="s">
        <v>26</v>
      </c>
      <c r="AD46" s="2" t="s">
        <v>60</v>
      </c>
      <c r="AE46" s="2" t="s">
        <v>1863</v>
      </c>
      <c r="AF46" s="2" t="s">
        <v>46</v>
      </c>
      <c r="AG46" s="2" t="s">
        <v>1914</v>
      </c>
    </row>
    <row r="47" spans="1:33" x14ac:dyDescent="0.2">
      <c r="A47" s="22">
        <v>46</v>
      </c>
      <c r="B47" s="3">
        <v>8</v>
      </c>
      <c r="C47" s="3">
        <v>2016</v>
      </c>
      <c r="D47" s="3" t="s">
        <v>534</v>
      </c>
      <c r="E47" s="20">
        <v>42461</v>
      </c>
      <c r="F47" s="20">
        <v>42613</v>
      </c>
      <c r="G47" s="3">
        <v>129</v>
      </c>
      <c r="H47" s="8">
        <v>9</v>
      </c>
      <c r="I47" s="3">
        <v>4</v>
      </c>
      <c r="J47" s="3">
        <v>0</v>
      </c>
      <c r="K47" s="5" t="s">
        <v>702</v>
      </c>
      <c r="L47" s="5" t="s">
        <v>703</v>
      </c>
      <c r="M47" s="5" t="s">
        <v>704</v>
      </c>
      <c r="N47" s="5" t="s">
        <v>705</v>
      </c>
      <c r="O47" s="5" t="s">
        <v>706</v>
      </c>
      <c r="P47" s="5" t="s">
        <v>707</v>
      </c>
      <c r="Q47" s="3" t="s">
        <v>63</v>
      </c>
      <c r="R47" s="3" t="s">
        <v>4</v>
      </c>
      <c r="S47" s="3" t="s">
        <v>82</v>
      </c>
      <c r="T47" s="1">
        <v>2016</v>
      </c>
      <c r="U47" s="1" t="s">
        <v>247</v>
      </c>
      <c r="V47" s="1" t="s">
        <v>248</v>
      </c>
      <c r="W47" s="1" t="s">
        <v>183</v>
      </c>
      <c r="X47" s="1" t="s">
        <v>249</v>
      </c>
      <c r="Y47" s="1" t="s">
        <v>250</v>
      </c>
      <c r="Z47" s="2" t="s">
        <v>1899</v>
      </c>
      <c r="AA47" s="2" t="s">
        <v>1901</v>
      </c>
      <c r="AB47" s="2" t="s">
        <v>1840</v>
      </c>
      <c r="AC47" s="2" t="s">
        <v>26</v>
      </c>
      <c r="AD47" s="2" t="s">
        <v>16</v>
      </c>
      <c r="AE47" s="2" t="s">
        <v>39</v>
      </c>
      <c r="AF47" s="2" t="s">
        <v>46</v>
      </c>
      <c r="AG47" s="2" t="s">
        <v>48</v>
      </c>
    </row>
    <row r="48" spans="1:33" x14ac:dyDescent="0.2">
      <c r="A48" s="22">
        <v>47</v>
      </c>
      <c r="B48" s="3">
        <v>8</v>
      </c>
      <c r="C48" s="3">
        <v>2016</v>
      </c>
      <c r="D48" s="3" t="s">
        <v>534</v>
      </c>
      <c r="E48" s="20">
        <v>42461</v>
      </c>
      <c r="F48" s="20">
        <v>42613</v>
      </c>
      <c r="G48" s="3">
        <v>129</v>
      </c>
      <c r="H48" s="8">
        <v>9</v>
      </c>
      <c r="I48" s="3">
        <v>4</v>
      </c>
      <c r="J48" s="3">
        <v>0</v>
      </c>
      <c r="K48" s="5" t="s">
        <v>708</v>
      </c>
      <c r="L48" s="5" t="s">
        <v>709</v>
      </c>
      <c r="M48" s="5" t="s">
        <v>710</v>
      </c>
      <c r="N48" s="5" t="s">
        <v>711</v>
      </c>
      <c r="O48" s="5" t="s">
        <v>712</v>
      </c>
      <c r="P48" s="5" t="s">
        <v>713</v>
      </c>
      <c r="Q48" s="3" t="s">
        <v>63</v>
      </c>
      <c r="R48" s="3" t="s">
        <v>4</v>
      </c>
      <c r="S48" s="3" t="s">
        <v>82</v>
      </c>
      <c r="T48" s="1">
        <v>2016</v>
      </c>
      <c r="U48" s="1" t="s">
        <v>251</v>
      </c>
      <c r="V48" s="1" t="s">
        <v>3</v>
      </c>
      <c r="W48" s="1" t="s">
        <v>252</v>
      </c>
      <c r="X48" s="1" t="s">
        <v>253</v>
      </c>
      <c r="Y48" s="1" t="s">
        <v>254</v>
      </c>
      <c r="Z48" s="2" t="s">
        <v>15</v>
      </c>
      <c r="AA48" s="2" t="s">
        <v>1902</v>
      </c>
      <c r="AB48" s="2" t="s">
        <v>1841</v>
      </c>
      <c r="AC48" s="2" t="s">
        <v>14</v>
      </c>
      <c r="AD48" s="2" t="s">
        <v>15</v>
      </c>
      <c r="AE48" s="2" t="s">
        <v>37</v>
      </c>
      <c r="AF48" s="2" t="s">
        <v>45</v>
      </c>
      <c r="AG48" s="2" t="s">
        <v>56</v>
      </c>
    </row>
    <row r="49" spans="1:37" x14ac:dyDescent="0.2">
      <c r="A49" s="22">
        <v>48</v>
      </c>
      <c r="B49" s="3">
        <v>8</v>
      </c>
      <c r="C49" s="3">
        <v>2016</v>
      </c>
      <c r="D49" s="3" t="s">
        <v>534</v>
      </c>
      <c r="E49" s="20">
        <v>42461</v>
      </c>
      <c r="F49" s="20">
        <v>42613</v>
      </c>
      <c r="G49" s="3">
        <v>129</v>
      </c>
      <c r="H49" s="8">
        <v>9</v>
      </c>
      <c r="I49" s="3">
        <v>4</v>
      </c>
      <c r="J49" s="3">
        <v>0</v>
      </c>
      <c r="K49" s="5" t="s">
        <v>714</v>
      </c>
      <c r="L49" s="5" t="s">
        <v>715</v>
      </c>
      <c r="M49" s="5" t="s">
        <v>716</v>
      </c>
      <c r="N49" s="5" t="s">
        <v>1493</v>
      </c>
      <c r="O49" s="5" t="s">
        <v>717</v>
      </c>
      <c r="P49" s="5" t="s">
        <v>718</v>
      </c>
      <c r="Q49" s="3" t="s">
        <v>63</v>
      </c>
      <c r="R49" s="3" t="s">
        <v>4</v>
      </c>
      <c r="S49" s="3" t="s">
        <v>82</v>
      </c>
      <c r="T49" s="1">
        <v>2016</v>
      </c>
      <c r="U49" s="1" t="s">
        <v>255</v>
      </c>
      <c r="V49" s="1" t="s">
        <v>256</v>
      </c>
      <c r="W49" s="1" t="s">
        <v>257</v>
      </c>
      <c r="X49" s="1" t="s">
        <v>258</v>
      </c>
      <c r="Y49" s="1" t="s">
        <v>259</v>
      </c>
      <c r="Z49" s="2" t="s">
        <v>15</v>
      </c>
      <c r="AA49" s="2" t="s">
        <v>1902</v>
      </c>
      <c r="AB49" s="2" t="s">
        <v>1841</v>
      </c>
      <c r="AC49" s="2" t="s">
        <v>14</v>
      </c>
      <c r="AD49" s="2" t="s">
        <v>15</v>
      </c>
      <c r="AE49" s="2" t="s">
        <v>1894</v>
      </c>
      <c r="AF49" s="2" t="s">
        <v>45</v>
      </c>
      <c r="AG49" s="2" t="s">
        <v>1639</v>
      </c>
    </row>
    <row r="50" spans="1:37" x14ac:dyDescent="0.2">
      <c r="A50" s="22">
        <v>49</v>
      </c>
      <c r="B50" s="3">
        <v>9</v>
      </c>
      <c r="C50" s="3">
        <v>2017</v>
      </c>
      <c r="D50" s="3" t="s">
        <v>535</v>
      </c>
      <c r="E50" s="20">
        <v>42583</v>
      </c>
      <c r="F50" s="20">
        <v>42674</v>
      </c>
      <c r="G50" s="3">
        <v>79</v>
      </c>
      <c r="H50" s="8">
        <v>8</v>
      </c>
      <c r="I50" s="3">
        <v>4</v>
      </c>
      <c r="J50" s="3">
        <v>0</v>
      </c>
      <c r="K50" s="5" t="s">
        <v>719</v>
      </c>
      <c r="L50" s="5" t="s">
        <v>720</v>
      </c>
      <c r="M50" s="5" t="s">
        <v>721</v>
      </c>
      <c r="N50" s="5" t="s">
        <v>722</v>
      </c>
      <c r="O50" s="5" t="s">
        <v>723</v>
      </c>
      <c r="P50" s="5" t="s">
        <v>724</v>
      </c>
      <c r="Q50" s="3" t="s">
        <v>549</v>
      </c>
      <c r="R50" s="3" t="s">
        <v>550</v>
      </c>
      <c r="S50" s="3" t="s">
        <v>551</v>
      </c>
      <c r="T50" s="1">
        <v>2016</v>
      </c>
      <c r="U50" s="1" t="s">
        <v>260</v>
      </c>
      <c r="V50" s="1" t="s">
        <v>261</v>
      </c>
      <c r="W50" s="1" t="s">
        <v>262</v>
      </c>
      <c r="Y50" s="1" t="s">
        <v>263</v>
      </c>
      <c r="Z50" s="2" t="s">
        <v>1899</v>
      </c>
      <c r="AA50" s="2" t="s">
        <v>1913</v>
      </c>
      <c r="AB50" s="2" t="s">
        <v>1930</v>
      </c>
      <c r="AC50" s="2" t="s">
        <v>1566</v>
      </c>
      <c r="AD50" s="2" t="s">
        <v>16</v>
      </c>
      <c r="AE50" s="2" t="s">
        <v>37</v>
      </c>
      <c r="AF50" s="2" t="s">
        <v>46</v>
      </c>
      <c r="AG50" s="2" t="s">
        <v>1875</v>
      </c>
    </row>
    <row r="51" spans="1:37" x14ac:dyDescent="0.2">
      <c r="A51" s="22">
        <v>50</v>
      </c>
      <c r="B51" s="3">
        <v>9</v>
      </c>
      <c r="C51" s="3">
        <v>2017</v>
      </c>
      <c r="D51" s="3" t="s">
        <v>535</v>
      </c>
      <c r="E51" s="20">
        <v>42583</v>
      </c>
      <c r="F51" s="20">
        <v>42674</v>
      </c>
      <c r="G51" s="3">
        <v>79</v>
      </c>
      <c r="H51" s="8">
        <v>8</v>
      </c>
      <c r="I51" s="3">
        <v>4</v>
      </c>
      <c r="J51" s="3">
        <v>0</v>
      </c>
      <c r="K51" s="5" t="s">
        <v>725</v>
      </c>
      <c r="L51" s="5" t="s">
        <v>726</v>
      </c>
      <c r="M51" s="5" t="s">
        <v>727</v>
      </c>
      <c r="N51" s="5" t="s">
        <v>728</v>
      </c>
      <c r="O51" s="5" t="s">
        <v>729</v>
      </c>
      <c r="P51" s="5" t="s">
        <v>730</v>
      </c>
      <c r="Q51" s="3" t="s">
        <v>549</v>
      </c>
      <c r="R51" s="3" t="s">
        <v>550</v>
      </c>
      <c r="S51" s="3" t="s">
        <v>551</v>
      </c>
      <c r="T51" s="1">
        <v>2016</v>
      </c>
      <c r="U51" s="1" t="s">
        <v>264</v>
      </c>
      <c r="V51" s="1" t="s">
        <v>265</v>
      </c>
      <c r="W51" s="1" t="s">
        <v>76</v>
      </c>
      <c r="X51" s="1" t="s">
        <v>266</v>
      </c>
      <c r="Y51" s="1" t="s">
        <v>267</v>
      </c>
      <c r="Z51" s="2" t="s">
        <v>1899</v>
      </c>
      <c r="AA51" s="2" t="s">
        <v>1901</v>
      </c>
      <c r="AB51" s="2" t="s">
        <v>1840</v>
      </c>
      <c r="AC51" s="2" t="s">
        <v>29</v>
      </c>
      <c r="AD51" s="2" t="s">
        <v>16</v>
      </c>
      <c r="AE51" s="2" t="s">
        <v>1860</v>
      </c>
      <c r="AF51" s="2" t="s">
        <v>46</v>
      </c>
      <c r="AG51" s="2" t="s">
        <v>48</v>
      </c>
    </row>
    <row r="52" spans="1:37" x14ac:dyDescent="0.2">
      <c r="A52" s="22">
        <v>51</v>
      </c>
      <c r="B52" s="3">
        <v>9</v>
      </c>
      <c r="C52" s="3">
        <v>2017</v>
      </c>
      <c r="D52" s="3" t="s">
        <v>535</v>
      </c>
      <c r="E52" s="20">
        <v>42583</v>
      </c>
      <c r="F52" s="20">
        <v>42674</v>
      </c>
      <c r="G52" s="3">
        <v>79</v>
      </c>
      <c r="H52" s="8">
        <v>8</v>
      </c>
      <c r="I52" s="3">
        <v>4</v>
      </c>
      <c r="J52" s="3">
        <v>0</v>
      </c>
      <c r="K52" s="5" t="s">
        <v>731</v>
      </c>
      <c r="L52" s="5" t="s">
        <v>732</v>
      </c>
      <c r="M52" s="5" t="s">
        <v>733</v>
      </c>
      <c r="N52" s="5" t="s">
        <v>1494</v>
      </c>
      <c r="O52" s="5" t="s">
        <v>734</v>
      </c>
      <c r="P52" s="5" t="s">
        <v>735</v>
      </c>
      <c r="Q52" s="3" t="s">
        <v>549</v>
      </c>
      <c r="R52" s="3" t="s">
        <v>550</v>
      </c>
      <c r="S52" s="3" t="s">
        <v>551</v>
      </c>
      <c r="T52" s="1">
        <v>2016</v>
      </c>
      <c r="U52" s="1" t="s">
        <v>108</v>
      </c>
      <c r="V52" s="1" t="s">
        <v>268</v>
      </c>
      <c r="W52" s="1" t="s">
        <v>169</v>
      </c>
      <c r="X52" s="1" t="s">
        <v>269</v>
      </c>
      <c r="Y52" s="1" t="s">
        <v>270</v>
      </c>
      <c r="Z52" s="2" t="s">
        <v>530</v>
      </c>
      <c r="AA52" s="2" t="s">
        <v>1901</v>
      </c>
      <c r="AB52" s="2" t="s">
        <v>1840</v>
      </c>
      <c r="AC52" s="2" t="s">
        <v>1566</v>
      </c>
      <c r="AD52" s="2" t="s">
        <v>1854</v>
      </c>
      <c r="AE52" s="2" t="s">
        <v>37</v>
      </c>
      <c r="AF52" s="2" t="s">
        <v>46</v>
      </c>
      <c r="AG52" s="2" t="s">
        <v>1851</v>
      </c>
    </row>
    <row r="53" spans="1:37" x14ac:dyDescent="0.2">
      <c r="A53" s="22">
        <v>52</v>
      </c>
      <c r="B53" s="3">
        <v>9</v>
      </c>
      <c r="C53" s="3">
        <v>2017</v>
      </c>
      <c r="D53" s="3" t="s">
        <v>535</v>
      </c>
      <c r="E53" s="20">
        <v>42583</v>
      </c>
      <c r="F53" s="20">
        <v>42674</v>
      </c>
      <c r="G53" s="3">
        <v>79</v>
      </c>
      <c r="H53" s="8">
        <v>8</v>
      </c>
      <c r="I53" s="3">
        <v>4</v>
      </c>
      <c r="J53" s="3">
        <v>0</v>
      </c>
      <c r="K53" s="5" t="s">
        <v>736</v>
      </c>
      <c r="L53" s="5" t="s">
        <v>737</v>
      </c>
      <c r="M53" s="5" t="s">
        <v>738</v>
      </c>
      <c r="N53" s="5" t="s">
        <v>739</v>
      </c>
      <c r="O53" s="5" t="s">
        <v>740</v>
      </c>
      <c r="P53" s="5" t="s">
        <v>741</v>
      </c>
      <c r="Q53" s="3" t="s">
        <v>549</v>
      </c>
      <c r="R53" s="3" t="s">
        <v>550</v>
      </c>
      <c r="S53" s="3" t="s">
        <v>551</v>
      </c>
      <c r="T53" s="1">
        <v>2016</v>
      </c>
      <c r="U53" s="1" t="s">
        <v>271</v>
      </c>
      <c r="V53" s="1" t="s">
        <v>272</v>
      </c>
      <c r="W53" s="1" t="s">
        <v>273</v>
      </c>
      <c r="X53" s="1" t="s">
        <v>274</v>
      </c>
      <c r="Y53" s="1" t="s">
        <v>275</v>
      </c>
      <c r="Z53" s="2" t="s">
        <v>530</v>
      </c>
      <c r="AA53" s="2" t="s">
        <v>1902</v>
      </c>
      <c r="AB53" s="2" t="s">
        <v>1841</v>
      </c>
      <c r="AC53" s="2" t="s">
        <v>1566</v>
      </c>
      <c r="AD53" s="2" t="s">
        <v>1854</v>
      </c>
      <c r="AE53" s="2" t="s">
        <v>35</v>
      </c>
      <c r="AF53" s="2" t="s">
        <v>45</v>
      </c>
      <c r="AG53" s="2" t="s">
        <v>57</v>
      </c>
    </row>
    <row r="54" spans="1:37" x14ac:dyDescent="0.2">
      <c r="A54" s="22">
        <v>53</v>
      </c>
      <c r="B54" s="3">
        <v>10</v>
      </c>
      <c r="C54" s="3">
        <v>2017</v>
      </c>
      <c r="D54" s="3" t="s">
        <v>532</v>
      </c>
      <c r="E54" s="20">
        <v>42658</v>
      </c>
      <c r="F54" s="20">
        <v>42766</v>
      </c>
      <c r="G54" s="3">
        <v>83</v>
      </c>
      <c r="H54" s="8">
        <v>15</v>
      </c>
      <c r="I54" s="3">
        <v>6</v>
      </c>
      <c r="J54" s="3">
        <v>0</v>
      </c>
      <c r="K54" s="5" t="s">
        <v>742</v>
      </c>
      <c r="L54" s="5" t="s">
        <v>743</v>
      </c>
      <c r="M54" s="5" t="s">
        <v>744</v>
      </c>
      <c r="N54" s="5" t="s">
        <v>1495</v>
      </c>
      <c r="O54" s="5" t="s">
        <v>745</v>
      </c>
      <c r="P54" s="5" t="s">
        <v>746</v>
      </c>
      <c r="Q54" s="3" t="s">
        <v>552</v>
      </c>
      <c r="R54" s="3" t="s">
        <v>553</v>
      </c>
      <c r="S54" s="3" t="s">
        <v>554</v>
      </c>
      <c r="T54" s="1">
        <v>2017</v>
      </c>
      <c r="U54" s="1" t="s">
        <v>276</v>
      </c>
      <c r="V54" s="1" t="s">
        <v>277</v>
      </c>
      <c r="W54" s="1" t="s">
        <v>70</v>
      </c>
      <c r="X54" s="1" t="s">
        <v>278</v>
      </c>
      <c r="Y54" s="1" t="s">
        <v>279</v>
      </c>
      <c r="Z54" s="2" t="s">
        <v>1899</v>
      </c>
      <c r="AA54" s="2" t="s">
        <v>1902</v>
      </c>
      <c r="AB54" s="2" t="s">
        <v>1841</v>
      </c>
      <c r="AC54" s="2" t="s">
        <v>14</v>
      </c>
      <c r="AD54" s="2" t="s">
        <v>60</v>
      </c>
      <c r="AE54" s="2" t="s">
        <v>1863</v>
      </c>
      <c r="AF54" s="2" t="s">
        <v>46</v>
      </c>
      <c r="AG54" s="2" t="s">
        <v>1903</v>
      </c>
    </row>
    <row r="55" spans="1:37" x14ac:dyDescent="0.2">
      <c r="A55" s="22">
        <v>54</v>
      </c>
      <c r="B55" s="3">
        <v>10</v>
      </c>
      <c r="C55" s="3">
        <v>2017</v>
      </c>
      <c r="D55" s="3" t="s">
        <v>532</v>
      </c>
      <c r="E55" s="20">
        <v>42658</v>
      </c>
      <c r="F55" s="20">
        <v>42766</v>
      </c>
      <c r="G55" s="3">
        <v>83</v>
      </c>
      <c r="H55" s="8">
        <v>15</v>
      </c>
      <c r="I55" s="3">
        <v>6</v>
      </c>
      <c r="J55" s="3">
        <v>0</v>
      </c>
      <c r="K55" s="5" t="s">
        <v>747</v>
      </c>
      <c r="L55" s="5" t="s">
        <v>748</v>
      </c>
      <c r="M55" s="5" t="s">
        <v>749</v>
      </c>
      <c r="N55" s="5" t="s">
        <v>750</v>
      </c>
      <c r="O55" s="5" t="s">
        <v>751</v>
      </c>
      <c r="P55" s="5" t="s">
        <v>752</v>
      </c>
      <c r="Q55" s="3" t="s">
        <v>552</v>
      </c>
      <c r="R55" s="3" t="s">
        <v>553</v>
      </c>
      <c r="S55" s="3" t="s">
        <v>554</v>
      </c>
      <c r="T55" s="1">
        <v>2016</v>
      </c>
      <c r="U55" s="1" t="s">
        <v>280</v>
      </c>
      <c r="V55" s="1" t="s">
        <v>281</v>
      </c>
      <c r="W55" s="1" t="s">
        <v>282</v>
      </c>
      <c r="X55" s="1" t="s">
        <v>283</v>
      </c>
      <c r="Y55" s="1" t="s">
        <v>284</v>
      </c>
      <c r="Z55" s="2" t="s">
        <v>1899</v>
      </c>
      <c r="AA55" s="2" t="s">
        <v>1901</v>
      </c>
      <c r="AB55" s="2" t="s">
        <v>24</v>
      </c>
      <c r="AC55" s="2" t="s">
        <v>29</v>
      </c>
      <c r="AD55" s="2" t="s">
        <v>16</v>
      </c>
      <c r="AE55" s="2" t="s">
        <v>44</v>
      </c>
      <c r="AF55" s="2" t="s">
        <v>47</v>
      </c>
      <c r="AG55" s="2" t="s">
        <v>1885</v>
      </c>
    </row>
    <row r="56" spans="1:37" x14ac:dyDescent="0.2">
      <c r="A56" s="22">
        <v>55</v>
      </c>
      <c r="B56" s="3">
        <v>10</v>
      </c>
      <c r="C56" s="3">
        <v>2017</v>
      </c>
      <c r="D56" s="3" t="s">
        <v>532</v>
      </c>
      <c r="E56" s="20">
        <v>42658</v>
      </c>
      <c r="F56" s="20">
        <v>42766</v>
      </c>
      <c r="G56" s="3">
        <v>83</v>
      </c>
      <c r="H56" s="8">
        <v>15</v>
      </c>
      <c r="I56" s="3">
        <v>6</v>
      </c>
      <c r="J56" s="3">
        <v>0</v>
      </c>
      <c r="K56" s="5" t="s">
        <v>753</v>
      </c>
      <c r="L56" s="5" t="s">
        <v>754</v>
      </c>
      <c r="M56" s="5" t="s">
        <v>755</v>
      </c>
      <c r="N56" s="5" t="s">
        <v>756</v>
      </c>
      <c r="O56" s="5" t="s">
        <v>757</v>
      </c>
      <c r="P56" s="5" t="s">
        <v>758</v>
      </c>
      <c r="Q56" s="3" t="s">
        <v>552</v>
      </c>
      <c r="R56" s="3" t="s">
        <v>553</v>
      </c>
      <c r="S56" s="3" t="s">
        <v>554</v>
      </c>
      <c r="T56" s="1">
        <v>2016</v>
      </c>
      <c r="U56" s="1" t="s">
        <v>285</v>
      </c>
      <c r="V56" s="1" t="s">
        <v>286</v>
      </c>
      <c r="W56" s="1" t="s">
        <v>76</v>
      </c>
      <c r="X56" s="1" t="s">
        <v>287</v>
      </c>
      <c r="Y56" s="1" t="s">
        <v>288</v>
      </c>
      <c r="Z56" s="2" t="s">
        <v>1899</v>
      </c>
      <c r="AA56" s="2" t="s">
        <v>1902</v>
      </c>
      <c r="AB56" s="2" t="s">
        <v>1841</v>
      </c>
      <c r="AC56" s="2" t="s">
        <v>14</v>
      </c>
      <c r="AD56" s="2" t="s">
        <v>16</v>
      </c>
      <c r="AE56" s="2" t="s">
        <v>44</v>
      </c>
      <c r="AF56" s="2" t="s">
        <v>45</v>
      </c>
      <c r="AG56" s="2" t="s">
        <v>1878</v>
      </c>
    </row>
    <row r="57" spans="1:37" x14ac:dyDescent="0.2">
      <c r="A57" s="22">
        <v>56</v>
      </c>
      <c r="B57" s="3">
        <v>10</v>
      </c>
      <c r="C57" s="3">
        <v>2017</v>
      </c>
      <c r="D57" s="3" t="s">
        <v>532</v>
      </c>
      <c r="E57" s="20">
        <v>42658</v>
      </c>
      <c r="F57" s="20">
        <v>42766</v>
      </c>
      <c r="G57" s="3">
        <v>83</v>
      </c>
      <c r="H57" s="8">
        <v>15</v>
      </c>
      <c r="I57" s="3">
        <v>6</v>
      </c>
      <c r="J57" s="3">
        <v>0</v>
      </c>
      <c r="K57" s="5" t="s">
        <v>759</v>
      </c>
      <c r="L57" s="5" t="s">
        <v>760</v>
      </c>
      <c r="M57" s="5" t="s">
        <v>761</v>
      </c>
      <c r="N57" s="5" t="s">
        <v>762</v>
      </c>
      <c r="O57" s="5" t="s">
        <v>763</v>
      </c>
      <c r="P57" s="5" t="s">
        <v>764</v>
      </c>
      <c r="Q57" s="3" t="s">
        <v>552</v>
      </c>
      <c r="R57" s="3" t="s">
        <v>553</v>
      </c>
      <c r="S57" s="3" t="s">
        <v>554</v>
      </c>
      <c r="T57" s="1">
        <v>2017</v>
      </c>
      <c r="U57" s="1" t="s">
        <v>289</v>
      </c>
      <c r="V57" s="1" t="s">
        <v>290</v>
      </c>
      <c r="W57" s="1" t="s">
        <v>291</v>
      </c>
      <c r="X57" s="1" t="s">
        <v>292</v>
      </c>
      <c r="Y57" s="1" t="s">
        <v>293</v>
      </c>
      <c r="Z57" s="2" t="s">
        <v>15</v>
      </c>
      <c r="AA57" s="2" t="s">
        <v>1902</v>
      </c>
      <c r="AB57" s="2" t="s">
        <v>1841</v>
      </c>
      <c r="AC57" s="2" t="s">
        <v>1921</v>
      </c>
      <c r="AD57" s="2" t="s">
        <v>1915</v>
      </c>
      <c r="AE57" s="2" t="s">
        <v>1894</v>
      </c>
      <c r="AF57" s="2" t="s">
        <v>45</v>
      </c>
      <c r="AG57" s="2" t="s">
        <v>1851</v>
      </c>
    </row>
    <row r="58" spans="1:37" x14ac:dyDescent="0.2">
      <c r="A58" s="22">
        <v>57</v>
      </c>
      <c r="B58" s="3">
        <v>10</v>
      </c>
      <c r="C58" s="3">
        <v>2017</v>
      </c>
      <c r="D58" s="3" t="s">
        <v>532</v>
      </c>
      <c r="E58" s="20">
        <v>42658</v>
      </c>
      <c r="F58" s="20">
        <v>42766</v>
      </c>
      <c r="G58" s="3">
        <v>83</v>
      </c>
      <c r="H58" s="8">
        <v>15</v>
      </c>
      <c r="I58" s="3">
        <v>6</v>
      </c>
      <c r="J58" s="3">
        <v>0</v>
      </c>
      <c r="K58" s="5" t="s">
        <v>765</v>
      </c>
      <c r="L58" s="5" t="s">
        <v>766</v>
      </c>
      <c r="M58" s="5" t="s">
        <v>767</v>
      </c>
      <c r="N58" s="5" t="s">
        <v>768</v>
      </c>
      <c r="O58" s="5" t="s">
        <v>769</v>
      </c>
      <c r="P58" s="5" t="s">
        <v>770</v>
      </c>
      <c r="Q58" s="3" t="s">
        <v>552</v>
      </c>
      <c r="R58" s="3" t="s">
        <v>553</v>
      </c>
      <c r="S58" s="3" t="s">
        <v>554</v>
      </c>
      <c r="T58" s="1">
        <v>2016</v>
      </c>
      <c r="U58" s="1" t="s">
        <v>294</v>
      </c>
      <c r="V58" s="1" t="s">
        <v>295</v>
      </c>
      <c r="W58" s="1" t="s">
        <v>291</v>
      </c>
      <c r="X58" s="1" t="s">
        <v>296</v>
      </c>
      <c r="Y58" s="1" t="s">
        <v>297</v>
      </c>
      <c r="Z58" s="2" t="s">
        <v>15</v>
      </c>
      <c r="AA58" s="2" t="s">
        <v>1902</v>
      </c>
      <c r="AB58" s="2" t="s">
        <v>1841</v>
      </c>
      <c r="AC58" s="2" t="s">
        <v>14</v>
      </c>
      <c r="AD58" s="2" t="s">
        <v>15</v>
      </c>
      <c r="AE58" s="2" t="s">
        <v>1860</v>
      </c>
      <c r="AF58" s="2" t="s">
        <v>46</v>
      </c>
      <c r="AG58" s="2" t="s">
        <v>1882</v>
      </c>
    </row>
    <row r="59" spans="1:37" x14ac:dyDescent="0.2">
      <c r="A59" s="22">
        <v>58</v>
      </c>
      <c r="B59" s="3">
        <v>10</v>
      </c>
      <c r="C59" s="3">
        <v>2017</v>
      </c>
      <c r="D59" s="3" t="s">
        <v>532</v>
      </c>
      <c r="E59" s="20">
        <v>42658</v>
      </c>
      <c r="F59" s="20">
        <v>42766</v>
      </c>
      <c r="G59" s="3">
        <v>83</v>
      </c>
      <c r="H59" s="8">
        <v>15</v>
      </c>
      <c r="I59" s="3">
        <v>6</v>
      </c>
      <c r="J59" s="3">
        <v>0</v>
      </c>
      <c r="K59" s="5" t="s">
        <v>771</v>
      </c>
      <c r="L59" s="5" t="s">
        <v>772</v>
      </c>
      <c r="M59" s="5" t="s">
        <v>773</v>
      </c>
      <c r="N59" s="5" t="s">
        <v>774</v>
      </c>
      <c r="O59" s="5" t="s">
        <v>775</v>
      </c>
      <c r="P59" s="5" t="s">
        <v>776</v>
      </c>
      <c r="Q59" s="3" t="s">
        <v>552</v>
      </c>
      <c r="R59" s="3" t="s">
        <v>553</v>
      </c>
      <c r="S59" s="3" t="s">
        <v>554</v>
      </c>
      <c r="T59" s="1">
        <v>2016</v>
      </c>
      <c r="U59" s="1" t="s">
        <v>298</v>
      </c>
      <c r="V59" s="1" t="s">
        <v>299</v>
      </c>
      <c r="W59" s="1" t="s">
        <v>291</v>
      </c>
      <c r="X59" s="1" t="s">
        <v>300</v>
      </c>
      <c r="Y59" s="1" t="s">
        <v>301</v>
      </c>
      <c r="Z59" s="2" t="s">
        <v>15</v>
      </c>
      <c r="AA59" s="2" t="s">
        <v>1913</v>
      </c>
      <c r="AB59" s="2" t="s">
        <v>1927</v>
      </c>
      <c r="AC59" s="2" t="s">
        <v>1922</v>
      </c>
      <c r="AD59" s="2" t="s">
        <v>15</v>
      </c>
      <c r="AE59" s="2" t="s">
        <v>38</v>
      </c>
      <c r="AF59" s="2" t="s">
        <v>45</v>
      </c>
      <c r="AG59" s="2" t="s">
        <v>1562</v>
      </c>
    </row>
    <row r="60" spans="1:37" x14ac:dyDescent="0.2">
      <c r="A60" s="22">
        <v>59</v>
      </c>
      <c r="B60" s="3">
        <v>11</v>
      </c>
      <c r="C60" s="3">
        <v>2017</v>
      </c>
      <c r="D60" s="3" t="s">
        <v>533</v>
      </c>
      <c r="E60" s="20">
        <v>42766</v>
      </c>
      <c r="F60" s="20">
        <v>42870</v>
      </c>
      <c r="G60" s="3">
        <v>106</v>
      </c>
      <c r="H60" s="8">
        <v>12</v>
      </c>
      <c r="I60" s="3">
        <v>6</v>
      </c>
      <c r="J60" s="3">
        <v>0</v>
      </c>
      <c r="K60" s="5" t="s">
        <v>777</v>
      </c>
      <c r="L60" s="5" t="s">
        <v>778</v>
      </c>
      <c r="M60" s="5" t="s">
        <v>779</v>
      </c>
      <c r="N60" s="5" t="s">
        <v>780</v>
      </c>
      <c r="O60" s="5" t="s">
        <v>781</v>
      </c>
      <c r="P60" s="5" t="s">
        <v>782</v>
      </c>
      <c r="Q60" s="3" t="s">
        <v>62</v>
      </c>
      <c r="R60" s="3" t="s">
        <v>5</v>
      </c>
      <c r="S60" s="3" t="s">
        <v>81</v>
      </c>
      <c r="T60" s="1">
        <v>2017</v>
      </c>
      <c r="U60" s="1" t="s">
        <v>1819</v>
      </c>
      <c r="V60" s="1" t="s">
        <v>1823</v>
      </c>
      <c r="W60" s="1" t="s">
        <v>408</v>
      </c>
      <c r="X60" s="1" t="s">
        <v>1821</v>
      </c>
      <c r="Y60" s="1" t="s">
        <v>1824</v>
      </c>
      <c r="Z60" s="2" t="s">
        <v>1899</v>
      </c>
      <c r="AA60" s="2" t="s">
        <v>1913</v>
      </c>
      <c r="AB60" s="2" t="s">
        <v>1927</v>
      </c>
      <c r="AC60" s="2" t="s">
        <v>1817</v>
      </c>
      <c r="AD60" s="2" t="s">
        <v>16</v>
      </c>
      <c r="AE60" s="2" t="s">
        <v>44</v>
      </c>
      <c r="AF60" s="2" t="s">
        <v>45</v>
      </c>
      <c r="AG60" s="2" t="s">
        <v>1562</v>
      </c>
      <c r="AI60" s="48"/>
      <c r="AJ60" s="48"/>
      <c r="AK60" s="48"/>
    </row>
    <row r="61" spans="1:37" x14ac:dyDescent="0.2">
      <c r="A61" s="22">
        <v>60</v>
      </c>
      <c r="B61" s="3">
        <v>11</v>
      </c>
      <c r="C61" s="3">
        <v>2017</v>
      </c>
      <c r="D61" s="3" t="s">
        <v>533</v>
      </c>
      <c r="E61" s="20">
        <v>42766</v>
      </c>
      <c r="F61" s="20">
        <v>42870</v>
      </c>
      <c r="G61" s="3">
        <v>106</v>
      </c>
      <c r="H61" s="8">
        <v>12</v>
      </c>
      <c r="I61" s="3">
        <v>6</v>
      </c>
      <c r="J61" s="3">
        <v>0</v>
      </c>
      <c r="K61" s="5" t="s">
        <v>777</v>
      </c>
      <c r="L61" s="5" t="s">
        <v>778</v>
      </c>
      <c r="M61" s="5" t="s">
        <v>779</v>
      </c>
      <c r="N61" s="5" t="s">
        <v>780</v>
      </c>
      <c r="O61" s="5" t="s">
        <v>781</v>
      </c>
      <c r="P61" s="5" t="s">
        <v>782</v>
      </c>
      <c r="Q61" s="3" t="s">
        <v>62</v>
      </c>
      <c r="R61" s="3" t="s">
        <v>5</v>
      </c>
      <c r="S61" s="3" t="s">
        <v>81</v>
      </c>
      <c r="T61" s="1">
        <v>2017</v>
      </c>
      <c r="U61" s="1" t="s">
        <v>1818</v>
      </c>
      <c r="V61" s="1" t="s">
        <v>1820</v>
      </c>
      <c r="W61" s="1" t="s">
        <v>70</v>
      </c>
      <c r="X61" s="1" t="s">
        <v>1822</v>
      </c>
      <c r="Y61" s="1" t="s">
        <v>1825</v>
      </c>
      <c r="Z61" s="2" t="s">
        <v>1899</v>
      </c>
      <c r="AA61" s="2" t="s">
        <v>1913</v>
      </c>
      <c r="AB61" s="2" t="s">
        <v>1927</v>
      </c>
      <c r="AC61" s="2" t="s">
        <v>1817</v>
      </c>
      <c r="AD61" s="2" t="s">
        <v>16</v>
      </c>
      <c r="AE61" s="2" t="s">
        <v>44</v>
      </c>
      <c r="AF61" s="2" t="s">
        <v>45</v>
      </c>
      <c r="AG61" s="2" t="s">
        <v>1562</v>
      </c>
      <c r="AH61" s="53" t="s">
        <v>1827</v>
      </c>
      <c r="AI61" s="48"/>
      <c r="AJ61" s="48"/>
      <c r="AK61" s="48"/>
    </row>
    <row r="62" spans="1:37" x14ac:dyDescent="0.2">
      <c r="A62" s="22">
        <v>61</v>
      </c>
      <c r="B62" s="3">
        <v>11</v>
      </c>
      <c r="C62" s="3">
        <v>2017</v>
      </c>
      <c r="D62" s="3" t="s">
        <v>533</v>
      </c>
      <c r="E62" s="20">
        <v>42766</v>
      </c>
      <c r="F62" s="20">
        <v>42870</v>
      </c>
      <c r="G62" s="3">
        <v>106</v>
      </c>
      <c r="H62" s="8">
        <v>12</v>
      </c>
      <c r="I62" s="3">
        <v>6</v>
      </c>
      <c r="J62" s="3">
        <v>0</v>
      </c>
      <c r="K62" s="5" t="s">
        <v>783</v>
      </c>
      <c r="L62" s="5" t="s">
        <v>784</v>
      </c>
      <c r="M62" s="5" t="s">
        <v>785</v>
      </c>
      <c r="N62" s="5" t="s">
        <v>786</v>
      </c>
      <c r="O62" s="5" t="s">
        <v>787</v>
      </c>
      <c r="P62" s="5" t="s">
        <v>788</v>
      </c>
      <c r="Q62" s="3" t="s">
        <v>62</v>
      </c>
      <c r="R62" s="3" t="s">
        <v>5</v>
      </c>
      <c r="S62" s="3" t="s">
        <v>81</v>
      </c>
      <c r="T62" s="1">
        <v>2017</v>
      </c>
      <c r="U62" s="1" t="s">
        <v>302</v>
      </c>
      <c r="V62" s="1" t="s">
        <v>303</v>
      </c>
      <c r="W62" s="1" t="s">
        <v>304</v>
      </c>
      <c r="X62" s="1" t="s">
        <v>305</v>
      </c>
      <c r="Y62" s="1" t="s">
        <v>306</v>
      </c>
      <c r="Z62" s="2" t="s">
        <v>1899</v>
      </c>
      <c r="AA62" s="2" t="s">
        <v>1902</v>
      </c>
      <c r="AB62" s="2" t="s">
        <v>1841</v>
      </c>
      <c r="AC62" s="2" t="s">
        <v>14</v>
      </c>
      <c r="AD62" s="2" t="s">
        <v>16</v>
      </c>
      <c r="AE62" s="2" t="s">
        <v>44</v>
      </c>
      <c r="AF62" s="2" t="s">
        <v>45</v>
      </c>
      <c r="AG62" s="2" t="s">
        <v>1962</v>
      </c>
    </row>
    <row r="63" spans="1:37" x14ac:dyDescent="0.2">
      <c r="A63" s="22">
        <v>62</v>
      </c>
      <c r="B63" s="3">
        <v>11</v>
      </c>
      <c r="C63" s="3">
        <v>2017</v>
      </c>
      <c r="D63" s="3" t="s">
        <v>533</v>
      </c>
      <c r="E63" s="20">
        <v>42766</v>
      </c>
      <c r="F63" s="20">
        <v>42870</v>
      </c>
      <c r="G63" s="3">
        <v>106</v>
      </c>
      <c r="H63" s="8">
        <v>12</v>
      </c>
      <c r="I63" s="3">
        <v>6</v>
      </c>
      <c r="J63" s="3">
        <v>0</v>
      </c>
      <c r="K63" s="5" t="s">
        <v>789</v>
      </c>
      <c r="L63" s="5" t="s">
        <v>790</v>
      </c>
      <c r="M63" s="5" t="s">
        <v>791</v>
      </c>
      <c r="N63" s="5" t="s">
        <v>792</v>
      </c>
      <c r="O63" s="5" t="s">
        <v>793</v>
      </c>
      <c r="P63" s="5" t="s">
        <v>794</v>
      </c>
      <c r="Q63" s="3" t="s">
        <v>62</v>
      </c>
      <c r="R63" s="3" t="s">
        <v>5</v>
      </c>
      <c r="S63" s="3" t="s">
        <v>81</v>
      </c>
      <c r="T63" s="1">
        <v>2017</v>
      </c>
      <c r="U63" s="1" t="s">
        <v>307</v>
      </c>
      <c r="V63" s="1" t="s">
        <v>308</v>
      </c>
      <c r="W63" s="1" t="s">
        <v>291</v>
      </c>
      <c r="X63" s="1" t="s">
        <v>309</v>
      </c>
      <c r="Y63" s="1" t="s">
        <v>310</v>
      </c>
      <c r="Z63" s="2" t="s">
        <v>15</v>
      </c>
      <c r="AA63" s="2" t="s">
        <v>1902</v>
      </c>
      <c r="AB63" s="2" t="s">
        <v>1841</v>
      </c>
      <c r="AC63" s="2" t="s">
        <v>14</v>
      </c>
      <c r="AD63" s="2" t="s">
        <v>15</v>
      </c>
      <c r="AE63" s="2" t="s">
        <v>1925</v>
      </c>
      <c r="AF63" s="2" t="s">
        <v>46</v>
      </c>
      <c r="AG63" s="2" t="s">
        <v>58</v>
      </c>
    </row>
    <row r="64" spans="1:37" x14ac:dyDescent="0.2">
      <c r="A64" s="22">
        <v>63</v>
      </c>
      <c r="B64" s="3">
        <v>11</v>
      </c>
      <c r="C64" s="3">
        <v>2017</v>
      </c>
      <c r="D64" s="3" t="s">
        <v>533</v>
      </c>
      <c r="E64" s="20">
        <v>42766</v>
      </c>
      <c r="F64" s="20">
        <v>42870</v>
      </c>
      <c r="G64" s="3">
        <v>106</v>
      </c>
      <c r="H64" s="8">
        <v>12</v>
      </c>
      <c r="I64" s="3">
        <v>6</v>
      </c>
      <c r="J64" s="3">
        <v>0</v>
      </c>
      <c r="K64" s="5" t="s">
        <v>795</v>
      </c>
      <c r="L64" s="5" t="s">
        <v>796</v>
      </c>
      <c r="M64" s="5" t="s">
        <v>797</v>
      </c>
      <c r="N64" s="5" t="s">
        <v>798</v>
      </c>
      <c r="O64" s="5" t="s">
        <v>799</v>
      </c>
      <c r="P64" s="5" t="s">
        <v>800</v>
      </c>
      <c r="Q64" s="3" t="s">
        <v>62</v>
      </c>
      <c r="R64" s="3" t="s">
        <v>5</v>
      </c>
      <c r="S64" s="3" t="s">
        <v>81</v>
      </c>
      <c r="T64" s="1">
        <v>2017</v>
      </c>
      <c r="U64" s="1" t="s">
        <v>311</v>
      </c>
      <c r="V64" s="1" t="s">
        <v>312</v>
      </c>
      <c r="W64" s="1" t="s">
        <v>313</v>
      </c>
      <c r="X64" s="1" t="s">
        <v>314</v>
      </c>
      <c r="Y64" s="1" t="s">
        <v>315</v>
      </c>
      <c r="Z64" s="2" t="s">
        <v>15</v>
      </c>
      <c r="AA64" s="2" t="s">
        <v>1902</v>
      </c>
      <c r="AB64" s="2" t="s">
        <v>1841</v>
      </c>
      <c r="AC64" s="2" t="s">
        <v>1918</v>
      </c>
      <c r="AD64" s="2" t="s">
        <v>15</v>
      </c>
      <c r="AE64" s="2" t="s">
        <v>37</v>
      </c>
      <c r="AF64" s="2" t="s">
        <v>46</v>
      </c>
      <c r="AG64" s="2" t="s">
        <v>1690</v>
      </c>
    </row>
    <row r="65" spans="1:39" x14ac:dyDescent="0.2">
      <c r="A65" s="22">
        <v>64</v>
      </c>
      <c r="B65" s="3">
        <v>11</v>
      </c>
      <c r="C65" s="3">
        <v>2017</v>
      </c>
      <c r="D65" s="3" t="s">
        <v>533</v>
      </c>
      <c r="E65" s="20">
        <v>42766</v>
      </c>
      <c r="F65" s="20">
        <v>42870</v>
      </c>
      <c r="G65" s="3">
        <v>106</v>
      </c>
      <c r="H65" s="8">
        <v>12</v>
      </c>
      <c r="I65" s="3">
        <v>6</v>
      </c>
      <c r="J65" s="3">
        <v>0</v>
      </c>
      <c r="K65" s="5" t="s">
        <v>801</v>
      </c>
      <c r="L65" s="5" t="s">
        <v>802</v>
      </c>
      <c r="M65" s="5" t="s">
        <v>803</v>
      </c>
      <c r="N65" s="5" t="s">
        <v>804</v>
      </c>
      <c r="O65" s="5" t="s">
        <v>805</v>
      </c>
      <c r="P65" s="5" t="s">
        <v>806</v>
      </c>
      <c r="Q65" s="3" t="s">
        <v>62</v>
      </c>
      <c r="R65" s="3" t="s">
        <v>5</v>
      </c>
      <c r="S65" s="3" t="s">
        <v>81</v>
      </c>
      <c r="T65" s="1">
        <v>2017</v>
      </c>
      <c r="U65" s="1" t="s">
        <v>316</v>
      </c>
      <c r="V65" s="1" t="s">
        <v>317</v>
      </c>
      <c r="W65" s="1" t="s">
        <v>135</v>
      </c>
      <c r="X65" s="1" t="s">
        <v>318</v>
      </c>
      <c r="Y65" s="1" t="s">
        <v>319</v>
      </c>
      <c r="Z65" s="2" t="s">
        <v>531</v>
      </c>
      <c r="AA65" s="2" t="s">
        <v>1901</v>
      </c>
      <c r="AB65" s="2" t="s">
        <v>1840</v>
      </c>
      <c r="AC65" s="2" t="s">
        <v>1566</v>
      </c>
      <c r="AD65" s="2" t="s">
        <v>1852</v>
      </c>
      <c r="AE65" s="2" t="s">
        <v>1562</v>
      </c>
      <c r="AF65" s="2" t="s">
        <v>47</v>
      </c>
      <c r="AG65" s="2" t="s">
        <v>1885</v>
      </c>
      <c r="AI65" s="48"/>
      <c r="AJ65" s="48"/>
      <c r="AK65" s="48"/>
    </row>
    <row r="66" spans="1:39" x14ac:dyDescent="0.2">
      <c r="A66" s="22">
        <v>65</v>
      </c>
      <c r="B66" s="3">
        <v>12</v>
      </c>
      <c r="C66" s="3">
        <v>2017</v>
      </c>
      <c r="D66" s="3" t="s">
        <v>534</v>
      </c>
      <c r="E66" s="20">
        <v>42870</v>
      </c>
      <c r="F66" s="20">
        <v>42947</v>
      </c>
      <c r="G66" s="3">
        <v>62</v>
      </c>
      <c r="H66" s="8">
        <v>7</v>
      </c>
      <c r="I66" s="3">
        <v>4</v>
      </c>
      <c r="J66" s="3">
        <v>0</v>
      </c>
      <c r="K66" s="5" t="s">
        <v>807</v>
      </c>
      <c r="L66" s="5" t="s">
        <v>808</v>
      </c>
      <c r="M66" s="5" t="s">
        <v>809</v>
      </c>
      <c r="N66" s="5" t="s">
        <v>810</v>
      </c>
      <c r="O66" s="5" t="s">
        <v>811</v>
      </c>
      <c r="P66" s="5" t="s">
        <v>812</v>
      </c>
      <c r="Q66" s="3" t="s">
        <v>555</v>
      </c>
      <c r="R66" s="3" t="s">
        <v>556</v>
      </c>
      <c r="S66" s="3" t="s">
        <v>557</v>
      </c>
      <c r="T66" s="1">
        <v>2017</v>
      </c>
      <c r="U66" s="1" t="s">
        <v>320</v>
      </c>
      <c r="V66" s="1" t="s">
        <v>321</v>
      </c>
      <c r="W66" s="1" t="s">
        <v>304</v>
      </c>
      <c r="X66" s="1" t="s">
        <v>322</v>
      </c>
      <c r="Y66" s="1" t="s">
        <v>323</v>
      </c>
      <c r="Z66" s="2" t="s">
        <v>1899</v>
      </c>
      <c r="AA66" s="2" t="s">
        <v>1902</v>
      </c>
      <c r="AB66" s="2" t="s">
        <v>1841</v>
      </c>
      <c r="AC66" s="2" t="s">
        <v>1566</v>
      </c>
      <c r="AD66" s="2" t="s">
        <v>16</v>
      </c>
      <c r="AE66" s="2" t="s">
        <v>44</v>
      </c>
      <c r="AF66" s="2" t="s">
        <v>45</v>
      </c>
      <c r="AG66" s="2" t="s">
        <v>1963</v>
      </c>
    </row>
    <row r="67" spans="1:39" x14ac:dyDescent="0.2">
      <c r="A67" s="22">
        <v>66</v>
      </c>
      <c r="B67" s="3">
        <v>12</v>
      </c>
      <c r="C67" s="3">
        <v>2017</v>
      </c>
      <c r="D67" s="3" t="s">
        <v>534</v>
      </c>
      <c r="E67" s="20">
        <v>42870</v>
      </c>
      <c r="F67" s="20">
        <v>42947</v>
      </c>
      <c r="G67" s="3">
        <v>62</v>
      </c>
      <c r="H67" s="8">
        <v>7</v>
      </c>
      <c r="I67" s="3">
        <v>4</v>
      </c>
      <c r="J67" s="3">
        <v>0</v>
      </c>
      <c r="K67" s="5" t="s">
        <v>813</v>
      </c>
      <c r="L67" s="5" t="s">
        <v>814</v>
      </c>
      <c r="M67" s="5" t="s">
        <v>815</v>
      </c>
      <c r="N67" s="5" t="s">
        <v>816</v>
      </c>
      <c r="O67" s="5" t="s">
        <v>817</v>
      </c>
      <c r="P67" s="5" t="s">
        <v>818</v>
      </c>
      <c r="Q67" s="3" t="s">
        <v>555</v>
      </c>
      <c r="R67" s="3" t="s">
        <v>556</v>
      </c>
      <c r="S67" s="3" t="s">
        <v>557</v>
      </c>
      <c r="T67" s="1">
        <v>2017</v>
      </c>
      <c r="U67" s="1" t="s">
        <v>324</v>
      </c>
      <c r="V67" s="1" t="s">
        <v>325</v>
      </c>
      <c r="W67" s="1" t="s">
        <v>326</v>
      </c>
      <c r="X67" s="1" t="s">
        <v>327</v>
      </c>
      <c r="Y67" s="1" t="s">
        <v>328</v>
      </c>
      <c r="Z67" s="2" t="s">
        <v>1899</v>
      </c>
      <c r="AA67" s="2" t="s">
        <v>1902</v>
      </c>
      <c r="AB67" s="2" t="s">
        <v>1841</v>
      </c>
      <c r="AC67" s="2" t="s">
        <v>14</v>
      </c>
      <c r="AD67" s="2" t="s">
        <v>60</v>
      </c>
      <c r="AE67" s="2" t="s">
        <v>1863</v>
      </c>
      <c r="AF67" s="2" t="s">
        <v>45</v>
      </c>
      <c r="AG67" s="2" t="s">
        <v>53</v>
      </c>
    </row>
    <row r="68" spans="1:39" x14ac:dyDescent="0.2">
      <c r="A68" s="22">
        <v>67</v>
      </c>
      <c r="B68" s="3">
        <v>12</v>
      </c>
      <c r="C68" s="3">
        <v>2017</v>
      </c>
      <c r="D68" s="3" t="s">
        <v>534</v>
      </c>
      <c r="E68" s="20">
        <v>42870</v>
      </c>
      <c r="F68" s="20">
        <v>42947</v>
      </c>
      <c r="G68" s="3">
        <v>62</v>
      </c>
      <c r="H68" s="8">
        <v>7</v>
      </c>
      <c r="I68" s="3">
        <v>4</v>
      </c>
      <c r="J68" s="3">
        <v>0</v>
      </c>
      <c r="K68" s="5" t="s">
        <v>819</v>
      </c>
      <c r="L68" s="5" t="s">
        <v>820</v>
      </c>
      <c r="M68" s="5" t="s">
        <v>821</v>
      </c>
      <c r="N68" s="5" t="s">
        <v>822</v>
      </c>
      <c r="O68" s="5" t="s">
        <v>823</v>
      </c>
      <c r="P68" s="5" t="s">
        <v>824</v>
      </c>
      <c r="Q68" s="3" t="s">
        <v>555</v>
      </c>
      <c r="R68" s="3" t="s">
        <v>556</v>
      </c>
      <c r="S68" s="3" t="s">
        <v>557</v>
      </c>
      <c r="T68" s="1">
        <v>2017</v>
      </c>
      <c r="U68" s="1" t="s">
        <v>329</v>
      </c>
      <c r="V68" s="1" t="s">
        <v>330</v>
      </c>
      <c r="W68" s="1" t="s">
        <v>331</v>
      </c>
      <c r="X68" s="1" t="s">
        <v>332</v>
      </c>
      <c r="Y68" s="1" t="s">
        <v>333</v>
      </c>
      <c r="Z68" s="2" t="s">
        <v>1899</v>
      </c>
      <c r="AA68" s="2" t="s">
        <v>1901</v>
      </c>
      <c r="AB68" s="2" t="s">
        <v>1840</v>
      </c>
      <c r="AC68" s="2" t="s">
        <v>1566</v>
      </c>
      <c r="AD68" s="2" t="s">
        <v>60</v>
      </c>
      <c r="AE68" s="2" t="s">
        <v>1863</v>
      </c>
      <c r="AF68" s="2" t="s">
        <v>45</v>
      </c>
      <c r="AG68" s="2" t="s">
        <v>1691</v>
      </c>
      <c r="AI68" s="48"/>
      <c r="AJ68" s="48"/>
      <c r="AK68" s="48"/>
      <c r="AL68" s="48"/>
      <c r="AM68" s="48"/>
    </row>
    <row r="69" spans="1:39" x14ac:dyDescent="0.2">
      <c r="A69" s="22">
        <v>68</v>
      </c>
      <c r="B69" s="3">
        <v>12</v>
      </c>
      <c r="C69" s="3">
        <v>2017</v>
      </c>
      <c r="D69" s="3" t="s">
        <v>534</v>
      </c>
      <c r="E69" s="20">
        <v>42870</v>
      </c>
      <c r="F69" s="20">
        <v>42947</v>
      </c>
      <c r="G69" s="3">
        <v>62</v>
      </c>
      <c r="H69" s="8">
        <v>7</v>
      </c>
      <c r="I69" s="3">
        <v>4</v>
      </c>
      <c r="J69" s="3">
        <v>0</v>
      </c>
      <c r="K69" s="5" t="s">
        <v>825</v>
      </c>
      <c r="L69" s="5" t="s">
        <v>826</v>
      </c>
      <c r="M69" s="5" t="s">
        <v>827</v>
      </c>
      <c r="N69" s="5" t="s">
        <v>828</v>
      </c>
      <c r="O69" s="5" t="s">
        <v>829</v>
      </c>
      <c r="P69" s="5" t="s">
        <v>830</v>
      </c>
      <c r="Q69" s="3" t="s">
        <v>555</v>
      </c>
      <c r="R69" s="3" t="s">
        <v>556</v>
      </c>
      <c r="S69" s="3" t="s">
        <v>557</v>
      </c>
      <c r="T69" s="1">
        <v>2017</v>
      </c>
      <c r="U69" s="1" t="s">
        <v>334</v>
      </c>
      <c r="V69" s="1" t="s">
        <v>335</v>
      </c>
      <c r="W69" s="1" t="s">
        <v>336</v>
      </c>
      <c r="X69" s="1" t="s">
        <v>337</v>
      </c>
      <c r="Y69" s="1" t="s">
        <v>338</v>
      </c>
      <c r="Z69" s="2" t="s">
        <v>15</v>
      </c>
      <c r="AA69" s="2" t="s">
        <v>1901</v>
      </c>
      <c r="AB69" s="2" t="s">
        <v>1840</v>
      </c>
      <c r="AC69" s="2" t="s">
        <v>26</v>
      </c>
      <c r="AD69" s="2" t="s">
        <v>15</v>
      </c>
      <c r="AE69" s="2" t="s">
        <v>1860</v>
      </c>
      <c r="AF69" s="2" t="s">
        <v>46</v>
      </c>
      <c r="AG69" s="2" t="s">
        <v>1903</v>
      </c>
    </row>
    <row r="70" spans="1:39" x14ac:dyDescent="0.2">
      <c r="A70" s="22">
        <v>69</v>
      </c>
      <c r="B70" s="3">
        <v>13</v>
      </c>
      <c r="C70" s="3">
        <v>2018</v>
      </c>
      <c r="D70" s="3" t="s">
        <v>535</v>
      </c>
      <c r="E70" s="20">
        <v>42947</v>
      </c>
      <c r="F70" s="20">
        <v>43040</v>
      </c>
      <c r="G70" s="3">
        <v>95</v>
      </c>
      <c r="H70" s="8">
        <v>11</v>
      </c>
      <c r="I70" s="3">
        <v>4</v>
      </c>
      <c r="J70" s="3">
        <v>0</v>
      </c>
      <c r="K70" s="5" t="s">
        <v>831</v>
      </c>
      <c r="L70" s="5" t="s">
        <v>832</v>
      </c>
      <c r="M70" s="5" t="s">
        <v>833</v>
      </c>
      <c r="N70" s="5" t="s">
        <v>834</v>
      </c>
      <c r="O70" s="5" t="s">
        <v>835</v>
      </c>
      <c r="P70" s="5" t="s">
        <v>836</v>
      </c>
      <c r="Q70" s="3" t="s">
        <v>12</v>
      </c>
      <c r="R70" s="3" t="s">
        <v>1</v>
      </c>
      <c r="S70" s="3" t="s">
        <v>80</v>
      </c>
      <c r="T70" s="1">
        <v>2017</v>
      </c>
      <c r="U70" s="1" t="s">
        <v>339</v>
      </c>
      <c r="V70" s="1" t="s">
        <v>340</v>
      </c>
      <c r="W70" s="1" t="s">
        <v>341</v>
      </c>
      <c r="X70" s="1" t="s">
        <v>342</v>
      </c>
      <c r="Y70" s="1" t="s">
        <v>343</v>
      </c>
      <c r="Z70" s="2" t="s">
        <v>1899</v>
      </c>
      <c r="AA70" s="2" t="s">
        <v>1901</v>
      </c>
      <c r="AB70" s="2" t="s">
        <v>24</v>
      </c>
      <c r="AC70" s="2" t="s">
        <v>29</v>
      </c>
      <c r="AD70" s="2" t="s">
        <v>60</v>
      </c>
      <c r="AE70" s="2" t="s">
        <v>41</v>
      </c>
      <c r="AF70" s="2" t="s">
        <v>45</v>
      </c>
      <c r="AG70" s="2" t="s">
        <v>1885</v>
      </c>
      <c r="AH70" s="53" t="s">
        <v>1826</v>
      </c>
      <c r="AI70" s="48"/>
      <c r="AJ70" s="48"/>
      <c r="AK70" s="48"/>
    </row>
    <row r="71" spans="1:39" x14ac:dyDescent="0.2">
      <c r="A71" s="22">
        <v>70</v>
      </c>
      <c r="B71" s="3">
        <v>13</v>
      </c>
      <c r="C71" s="3">
        <v>2018</v>
      </c>
      <c r="D71" s="3" t="s">
        <v>535</v>
      </c>
      <c r="E71" s="20">
        <v>42947</v>
      </c>
      <c r="F71" s="20">
        <v>43040</v>
      </c>
      <c r="G71" s="3">
        <v>95</v>
      </c>
      <c r="H71" s="8">
        <v>11</v>
      </c>
      <c r="I71" s="3">
        <v>4</v>
      </c>
      <c r="J71" s="3">
        <v>0</v>
      </c>
      <c r="K71" s="5" t="s">
        <v>837</v>
      </c>
      <c r="L71" s="5" t="s">
        <v>838</v>
      </c>
      <c r="M71" s="5" t="s">
        <v>839</v>
      </c>
      <c r="N71" s="5" t="s">
        <v>840</v>
      </c>
      <c r="O71" s="5" t="s">
        <v>841</v>
      </c>
      <c r="P71" s="5" t="s">
        <v>842</v>
      </c>
      <c r="Q71" s="3" t="s">
        <v>12</v>
      </c>
      <c r="R71" s="3" t="s">
        <v>1</v>
      </c>
      <c r="S71" s="3" t="s">
        <v>80</v>
      </c>
      <c r="T71" s="1">
        <v>2017</v>
      </c>
      <c r="U71" s="1" t="s">
        <v>344</v>
      </c>
      <c r="V71" s="1" t="s">
        <v>345</v>
      </c>
      <c r="W71" s="1" t="s">
        <v>178</v>
      </c>
      <c r="X71" s="1" t="s">
        <v>346</v>
      </c>
      <c r="Y71" s="1" t="s">
        <v>347</v>
      </c>
      <c r="Z71" s="2" t="s">
        <v>1899</v>
      </c>
      <c r="AA71" s="2" t="s">
        <v>1901</v>
      </c>
      <c r="AB71" s="2" t="s">
        <v>1840</v>
      </c>
      <c r="AC71" s="2" t="s">
        <v>1566</v>
      </c>
      <c r="AD71" s="2" t="s">
        <v>16</v>
      </c>
      <c r="AE71" s="2" t="s">
        <v>44</v>
      </c>
      <c r="AF71" s="2" t="s">
        <v>45</v>
      </c>
      <c r="AG71" s="2" t="s">
        <v>1875</v>
      </c>
      <c r="AI71" s="48"/>
      <c r="AJ71" s="48"/>
      <c r="AK71" s="48"/>
      <c r="AL71" s="48"/>
      <c r="AM71" s="48"/>
    </row>
    <row r="72" spans="1:39" x14ac:dyDescent="0.2">
      <c r="A72" s="22">
        <v>71</v>
      </c>
      <c r="B72" s="3">
        <v>13</v>
      </c>
      <c r="C72" s="3">
        <v>2018</v>
      </c>
      <c r="D72" s="3" t="s">
        <v>535</v>
      </c>
      <c r="E72" s="20">
        <v>42947</v>
      </c>
      <c r="F72" s="20">
        <v>43040</v>
      </c>
      <c r="G72" s="3">
        <v>95</v>
      </c>
      <c r="H72" s="8">
        <v>11</v>
      </c>
      <c r="I72" s="3">
        <v>4</v>
      </c>
      <c r="J72" s="3">
        <v>0</v>
      </c>
      <c r="K72" s="5" t="s">
        <v>8</v>
      </c>
      <c r="L72" s="5" t="s">
        <v>9</v>
      </c>
      <c r="M72" s="5" t="s">
        <v>6</v>
      </c>
      <c r="N72" s="5" t="s">
        <v>7</v>
      </c>
      <c r="O72" s="5" t="s">
        <v>843</v>
      </c>
      <c r="P72" s="5" t="s">
        <v>844</v>
      </c>
      <c r="Q72" s="3" t="s">
        <v>12</v>
      </c>
      <c r="R72" s="3" t="s">
        <v>1</v>
      </c>
      <c r="S72" s="3" t="s">
        <v>80</v>
      </c>
      <c r="T72" s="1">
        <v>2017</v>
      </c>
      <c r="U72" s="1" t="s">
        <v>10</v>
      </c>
      <c r="V72" s="1" t="s">
        <v>0</v>
      </c>
      <c r="W72" s="1" t="s">
        <v>120</v>
      </c>
      <c r="X72" s="1" t="s">
        <v>348</v>
      </c>
      <c r="Y72" s="1" t="s">
        <v>11</v>
      </c>
      <c r="Z72" s="2" t="s">
        <v>991</v>
      </c>
      <c r="AA72" s="2" t="s">
        <v>2069</v>
      </c>
      <c r="AB72" s="2" t="s">
        <v>59</v>
      </c>
      <c r="AC72" s="2" t="s">
        <v>1566</v>
      </c>
      <c r="AD72" s="2" t="s">
        <v>61</v>
      </c>
      <c r="AE72" s="2" t="s">
        <v>38</v>
      </c>
      <c r="AF72" s="2" t="s">
        <v>47</v>
      </c>
      <c r="AG72" s="2" t="s">
        <v>48</v>
      </c>
    </row>
    <row r="73" spans="1:39" x14ac:dyDescent="0.2">
      <c r="A73" s="22">
        <v>72</v>
      </c>
      <c r="B73" s="3">
        <v>13</v>
      </c>
      <c r="C73" s="3">
        <v>2018</v>
      </c>
      <c r="D73" s="3" t="s">
        <v>535</v>
      </c>
      <c r="E73" s="20">
        <v>42947</v>
      </c>
      <c r="F73" s="20">
        <v>43040</v>
      </c>
      <c r="G73" s="3">
        <v>95</v>
      </c>
      <c r="H73" s="8">
        <v>11</v>
      </c>
      <c r="I73" s="3">
        <v>4</v>
      </c>
      <c r="J73" s="3">
        <v>0</v>
      </c>
      <c r="K73" s="5" t="s">
        <v>13</v>
      </c>
      <c r="L73" s="5" t="s">
        <v>845</v>
      </c>
      <c r="M73" s="5" t="s">
        <v>846</v>
      </c>
      <c r="N73" s="5" t="s">
        <v>847</v>
      </c>
      <c r="O73" s="5" t="s">
        <v>848</v>
      </c>
      <c r="P73" s="5" t="s">
        <v>849</v>
      </c>
      <c r="Q73" s="3" t="s">
        <v>12</v>
      </c>
      <c r="R73" s="3" t="s">
        <v>1</v>
      </c>
      <c r="S73" s="3" t="s">
        <v>80</v>
      </c>
      <c r="T73" s="1">
        <v>2017</v>
      </c>
      <c r="U73" s="1" t="s">
        <v>17</v>
      </c>
      <c r="V73" s="1" t="s">
        <v>349</v>
      </c>
      <c r="W73" s="1" t="s">
        <v>18</v>
      </c>
      <c r="X73" s="1">
        <v>2017</v>
      </c>
      <c r="Y73" s="1" t="s">
        <v>19</v>
      </c>
      <c r="Z73" s="2" t="s">
        <v>71</v>
      </c>
      <c r="AA73" s="2" t="s">
        <v>1902</v>
      </c>
      <c r="AB73" s="2" t="s">
        <v>1841</v>
      </c>
      <c r="AC73" s="2" t="s">
        <v>14</v>
      </c>
      <c r="AD73" s="2" t="s">
        <v>1851</v>
      </c>
      <c r="AE73" s="2" t="s">
        <v>1894</v>
      </c>
      <c r="AF73" s="2" t="s">
        <v>47</v>
      </c>
      <c r="AG73" s="2" t="s">
        <v>1851</v>
      </c>
    </row>
    <row r="74" spans="1:39" x14ac:dyDescent="0.2">
      <c r="A74" s="22">
        <v>73</v>
      </c>
      <c r="B74" s="3">
        <v>14</v>
      </c>
      <c r="C74" s="3">
        <v>2018</v>
      </c>
      <c r="D74" s="3" t="s">
        <v>532</v>
      </c>
      <c r="E74" s="20">
        <v>43040</v>
      </c>
      <c r="F74" s="20">
        <v>43115</v>
      </c>
      <c r="G74" s="3">
        <v>65</v>
      </c>
      <c r="H74" s="8">
        <v>8</v>
      </c>
      <c r="I74" s="3">
        <v>3</v>
      </c>
      <c r="J74" s="3">
        <v>0</v>
      </c>
      <c r="K74" s="5" t="s">
        <v>850</v>
      </c>
      <c r="L74" s="5" t="s">
        <v>851</v>
      </c>
      <c r="M74" s="5" t="s">
        <v>852</v>
      </c>
      <c r="N74" s="5" t="s">
        <v>853</v>
      </c>
      <c r="O74" s="5" t="s">
        <v>854</v>
      </c>
      <c r="P74" s="5" t="s">
        <v>855</v>
      </c>
      <c r="Q74" s="3" t="s">
        <v>558</v>
      </c>
      <c r="R74" s="3" t="s">
        <v>559</v>
      </c>
      <c r="S74" s="3" t="s">
        <v>560</v>
      </c>
      <c r="T74" s="1">
        <v>2018</v>
      </c>
      <c r="U74" s="1" t="s">
        <v>350</v>
      </c>
      <c r="V74" s="1" t="s">
        <v>351</v>
      </c>
      <c r="W74" s="1" t="s">
        <v>352</v>
      </c>
      <c r="X74" s="1" t="s">
        <v>353</v>
      </c>
      <c r="Y74" s="1" t="s">
        <v>354</v>
      </c>
      <c r="Z74" s="2" t="s">
        <v>1899</v>
      </c>
      <c r="AA74" s="2" t="s">
        <v>1902</v>
      </c>
      <c r="AB74" s="2" t="s">
        <v>1841</v>
      </c>
      <c r="AC74" s="2" t="s">
        <v>14</v>
      </c>
      <c r="AD74" s="2" t="s">
        <v>60</v>
      </c>
      <c r="AE74" s="2" t="s">
        <v>1863</v>
      </c>
      <c r="AF74" s="2" t="s">
        <v>46</v>
      </c>
      <c r="AG74" s="2" t="s">
        <v>1904</v>
      </c>
    </row>
    <row r="75" spans="1:39" x14ac:dyDescent="0.2">
      <c r="A75" s="22">
        <v>74</v>
      </c>
      <c r="B75" s="3">
        <v>14</v>
      </c>
      <c r="C75" s="3">
        <v>2018</v>
      </c>
      <c r="D75" s="3" t="s">
        <v>532</v>
      </c>
      <c r="E75" s="20">
        <v>43040</v>
      </c>
      <c r="F75" s="20">
        <v>43115</v>
      </c>
      <c r="G75" s="3">
        <v>65</v>
      </c>
      <c r="H75" s="8">
        <v>8</v>
      </c>
      <c r="I75" s="3">
        <v>3</v>
      </c>
      <c r="J75" s="3">
        <v>0</v>
      </c>
      <c r="K75" s="5" t="s">
        <v>856</v>
      </c>
      <c r="L75" s="5" t="s">
        <v>857</v>
      </c>
      <c r="M75" s="5" t="s">
        <v>858</v>
      </c>
      <c r="N75" s="5" t="s">
        <v>859</v>
      </c>
      <c r="O75" s="5" t="s">
        <v>860</v>
      </c>
      <c r="P75" s="5" t="s">
        <v>861</v>
      </c>
      <c r="Q75" s="3" t="s">
        <v>558</v>
      </c>
      <c r="R75" s="3" t="s">
        <v>559</v>
      </c>
      <c r="S75" s="3" t="s">
        <v>560</v>
      </c>
      <c r="T75" s="1">
        <v>2017</v>
      </c>
      <c r="U75" s="1" t="s">
        <v>355</v>
      </c>
      <c r="V75" s="1" t="s">
        <v>356</v>
      </c>
      <c r="W75" s="1" t="s">
        <v>69</v>
      </c>
      <c r="X75" s="1" t="s">
        <v>357</v>
      </c>
      <c r="Y75" s="1" t="s">
        <v>358</v>
      </c>
      <c r="Z75" s="2" t="s">
        <v>15</v>
      </c>
      <c r="AA75" s="2" t="s">
        <v>1901</v>
      </c>
      <c r="AB75" s="2" t="s">
        <v>1840</v>
      </c>
      <c r="AC75" s="2" t="s">
        <v>1566</v>
      </c>
      <c r="AD75" s="2" t="s">
        <v>15</v>
      </c>
      <c r="AE75" s="2" t="s">
        <v>1692</v>
      </c>
      <c r="AF75" s="2" t="s">
        <v>47</v>
      </c>
      <c r="AG75" s="2" t="s">
        <v>1872</v>
      </c>
    </row>
    <row r="76" spans="1:39" x14ac:dyDescent="0.2">
      <c r="A76" s="22">
        <v>75</v>
      </c>
      <c r="B76" s="3">
        <v>14</v>
      </c>
      <c r="C76" s="3">
        <v>2018</v>
      </c>
      <c r="D76" s="3" t="s">
        <v>532</v>
      </c>
      <c r="E76" s="20">
        <v>43040</v>
      </c>
      <c r="F76" s="20">
        <v>43115</v>
      </c>
      <c r="G76" s="3">
        <v>65</v>
      </c>
      <c r="H76" s="8">
        <v>8</v>
      </c>
      <c r="I76" s="3">
        <v>3</v>
      </c>
      <c r="J76" s="3">
        <v>0</v>
      </c>
      <c r="K76" s="5" t="s">
        <v>862</v>
      </c>
      <c r="L76" s="5" t="s">
        <v>863</v>
      </c>
      <c r="M76" s="5" t="s">
        <v>864</v>
      </c>
      <c r="N76" s="5" t="s">
        <v>865</v>
      </c>
      <c r="O76" s="5" t="s">
        <v>866</v>
      </c>
      <c r="P76" s="5" t="s">
        <v>867</v>
      </c>
      <c r="Q76" s="3" t="s">
        <v>558</v>
      </c>
      <c r="R76" s="3" t="s">
        <v>559</v>
      </c>
      <c r="S76" s="3" t="s">
        <v>560</v>
      </c>
      <c r="T76" s="1">
        <v>2017</v>
      </c>
      <c r="U76" s="1" t="s">
        <v>359</v>
      </c>
      <c r="V76" s="1" t="s">
        <v>360</v>
      </c>
      <c r="W76" s="1" t="s">
        <v>361</v>
      </c>
      <c r="X76" s="1" t="s">
        <v>362</v>
      </c>
      <c r="Y76" s="1" t="s">
        <v>363</v>
      </c>
      <c r="Z76" s="2" t="s">
        <v>71</v>
      </c>
      <c r="AA76" s="2" t="s">
        <v>1902</v>
      </c>
      <c r="AB76" s="2" t="s">
        <v>1842</v>
      </c>
      <c r="AC76" s="2" t="s">
        <v>1566</v>
      </c>
      <c r="AD76" s="2" t="s">
        <v>15</v>
      </c>
      <c r="AE76" s="2" t="s">
        <v>35</v>
      </c>
      <c r="AF76" s="2" t="s">
        <v>47</v>
      </c>
      <c r="AG76" s="2" t="s">
        <v>1959</v>
      </c>
    </row>
    <row r="77" spans="1:39" ht="12" customHeight="1" x14ac:dyDescent="0.2">
      <c r="A77" s="22">
        <v>76</v>
      </c>
      <c r="B77" s="3">
        <v>15</v>
      </c>
      <c r="C77" s="3">
        <v>2018</v>
      </c>
      <c r="D77" s="3" t="s">
        <v>533</v>
      </c>
      <c r="E77" s="20">
        <v>43115</v>
      </c>
      <c r="F77" s="20">
        <v>43220</v>
      </c>
      <c r="G77" s="3">
        <v>92</v>
      </c>
      <c r="H77" s="8">
        <v>7</v>
      </c>
      <c r="I77" s="3">
        <v>4</v>
      </c>
      <c r="J77" s="3">
        <v>0</v>
      </c>
      <c r="K77" s="5" t="s">
        <v>868</v>
      </c>
      <c r="L77" s="54" t="s">
        <v>869</v>
      </c>
      <c r="M77" s="5" t="s">
        <v>1019</v>
      </c>
      <c r="N77" s="5" t="s">
        <v>1020</v>
      </c>
      <c r="O77" s="5" t="s">
        <v>1021</v>
      </c>
      <c r="P77" s="5" t="s">
        <v>1022</v>
      </c>
      <c r="Q77" s="3" t="s">
        <v>1153</v>
      </c>
      <c r="R77" s="3" t="s">
        <v>1154</v>
      </c>
      <c r="S77" s="3" t="s">
        <v>1155</v>
      </c>
      <c r="T77" s="1">
        <v>2018</v>
      </c>
      <c r="U77" s="1" t="s">
        <v>364</v>
      </c>
      <c r="V77" s="1" t="s">
        <v>365</v>
      </c>
      <c r="W77" s="1" t="s">
        <v>68</v>
      </c>
      <c r="X77" s="1" t="s">
        <v>366</v>
      </c>
      <c r="Y77" s="1" t="s">
        <v>367</v>
      </c>
      <c r="Z77" s="2" t="s">
        <v>1899</v>
      </c>
      <c r="AA77" s="2" t="s">
        <v>1902</v>
      </c>
      <c r="AB77" s="2" t="s">
        <v>1841</v>
      </c>
      <c r="AC77" s="2" t="s">
        <v>14</v>
      </c>
      <c r="AD77" s="2" t="s">
        <v>60</v>
      </c>
      <c r="AE77" s="2" t="s">
        <v>1863</v>
      </c>
      <c r="AF77" s="2" t="s">
        <v>46</v>
      </c>
      <c r="AG77" s="2" t="s">
        <v>1882</v>
      </c>
      <c r="AH77" s="53" t="s">
        <v>1694</v>
      </c>
    </row>
    <row r="78" spans="1:39" ht="12" customHeight="1" x14ac:dyDescent="0.2">
      <c r="A78" s="22">
        <v>77</v>
      </c>
      <c r="B78" s="3">
        <v>15</v>
      </c>
      <c r="C78" s="3">
        <v>2018</v>
      </c>
      <c r="D78" s="3" t="s">
        <v>533</v>
      </c>
      <c r="E78" s="20">
        <v>43115</v>
      </c>
      <c r="F78" s="20">
        <v>43220</v>
      </c>
      <c r="G78" s="3">
        <v>92</v>
      </c>
      <c r="H78" s="8">
        <v>7</v>
      </c>
      <c r="I78" s="3">
        <v>4</v>
      </c>
      <c r="J78" s="3">
        <v>0</v>
      </c>
      <c r="K78" s="5" t="s">
        <v>868</v>
      </c>
      <c r="L78" s="5" t="s">
        <v>869</v>
      </c>
      <c r="M78" s="5" t="s">
        <v>1023</v>
      </c>
      <c r="N78" s="5" t="s">
        <v>1020</v>
      </c>
      <c r="O78" s="5" t="s">
        <v>1021</v>
      </c>
      <c r="P78" s="5" t="s">
        <v>1022</v>
      </c>
      <c r="Q78" s="3" t="s">
        <v>1153</v>
      </c>
      <c r="R78" s="3" t="s">
        <v>1154</v>
      </c>
      <c r="S78" s="3" t="s">
        <v>1155</v>
      </c>
      <c r="T78" s="1">
        <v>2018</v>
      </c>
      <c r="U78" s="1" t="s">
        <v>1969</v>
      </c>
      <c r="V78" s="1" t="s">
        <v>1977</v>
      </c>
      <c r="W78" s="1" t="s">
        <v>1979</v>
      </c>
      <c r="X78" s="1" t="s">
        <v>1975</v>
      </c>
      <c r="Y78" s="1" t="s">
        <v>1965</v>
      </c>
      <c r="Z78" s="2" t="s">
        <v>1899</v>
      </c>
      <c r="AA78" s="2" t="s">
        <v>1902</v>
      </c>
      <c r="AB78" s="2" t="s">
        <v>1841</v>
      </c>
      <c r="AC78" s="2" t="s">
        <v>14</v>
      </c>
      <c r="AD78" s="2" t="s">
        <v>60</v>
      </c>
      <c r="AE78" s="2" t="s">
        <v>1863</v>
      </c>
      <c r="AF78" s="2" t="s">
        <v>46</v>
      </c>
      <c r="AG78" s="2" t="s">
        <v>1882</v>
      </c>
      <c r="AH78" s="53" t="s">
        <v>1693</v>
      </c>
    </row>
    <row r="79" spans="1:39" x14ac:dyDescent="0.2">
      <c r="A79" s="22">
        <v>78</v>
      </c>
      <c r="B79" s="3">
        <v>15</v>
      </c>
      <c r="C79" s="3">
        <v>2018</v>
      </c>
      <c r="D79" s="3" t="s">
        <v>533</v>
      </c>
      <c r="E79" s="20">
        <v>43115</v>
      </c>
      <c r="F79" s="20">
        <v>43220</v>
      </c>
      <c r="G79" s="3">
        <v>92</v>
      </c>
      <c r="H79" s="8">
        <v>7</v>
      </c>
      <c r="I79" s="3">
        <v>4</v>
      </c>
      <c r="J79" s="3">
        <v>0</v>
      </c>
      <c r="K79" s="5" t="s">
        <v>868</v>
      </c>
      <c r="L79" s="5" t="s">
        <v>869</v>
      </c>
      <c r="M79" s="5" t="s">
        <v>1023</v>
      </c>
      <c r="N79" s="5" t="s">
        <v>1020</v>
      </c>
      <c r="O79" s="5" t="s">
        <v>1021</v>
      </c>
      <c r="P79" s="5" t="s">
        <v>1022</v>
      </c>
      <c r="Q79" s="3" t="s">
        <v>1153</v>
      </c>
      <c r="R79" s="3" t="s">
        <v>1154</v>
      </c>
      <c r="S79" s="3" t="s">
        <v>1155</v>
      </c>
      <c r="T79" s="1">
        <v>2018</v>
      </c>
      <c r="U79" s="1" t="s">
        <v>1969</v>
      </c>
      <c r="V79" s="1" t="s">
        <v>1978</v>
      </c>
      <c r="W79" s="1" t="s">
        <v>1979</v>
      </c>
      <c r="X79" s="1" t="s">
        <v>1976</v>
      </c>
      <c r="Y79" s="1" t="s">
        <v>1968</v>
      </c>
      <c r="Z79" s="2" t="s">
        <v>1899</v>
      </c>
      <c r="AA79" s="2" t="s">
        <v>1902</v>
      </c>
      <c r="AB79" s="2" t="s">
        <v>1841</v>
      </c>
      <c r="AC79" s="2" t="s">
        <v>14</v>
      </c>
      <c r="AD79" s="2" t="s">
        <v>60</v>
      </c>
      <c r="AE79" s="2" t="s">
        <v>1863</v>
      </c>
      <c r="AF79" s="2" t="s">
        <v>46</v>
      </c>
      <c r="AG79" s="2" t="s">
        <v>1882</v>
      </c>
      <c r="AH79" s="53" t="s">
        <v>1693</v>
      </c>
    </row>
    <row r="80" spans="1:39" x14ac:dyDescent="0.2">
      <c r="A80" s="22">
        <v>79</v>
      </c>
      <c r="B80" s="3">
        <v>15</v>
      </c>
      <c r="C80" s="3">
        <v>2018</v>
      </c>
      <c r="D80" s="3" t="s">
        <v>533</v>
      </c>
      <c r="E80" s="20">
        <v>43115</v>
      </c>
      <c r="F80" s="20">
        <v>43220</v>
      </c>
      <c r="G80" s="3">
        <v>92</v>
      </c>
      <c r="H80" s="8">
        <v>7</v>
      </c>
      <c r="I80" s="3">
        <v>4</v>
      </c>
      <c r="J80" s="3">
        <v>0</v>
      </c>
      <c r="K80" s="5" t="s">
        <v>868</v>
      </c>
      <c r="L80" s="5" t="s">
        <v>869</v>
      </c>
      <c r="M80" s="5" t="s">
        <v>1023</v>
      </c>
      <c r="N80" s="5" t="s">
        <v>1020</v>
      </c>
      <c r="O80" s="5" t="s">
        <v>1021</v>
      </c>
      <c r="P80" s="5" t="s">
        <v>1022</v>
      </c>
      <c r="Q80" s="3" t="s">
        <v>1153</v>
      </c>
      <c r="R80" s="3" t="s">
        <v>1154</v>
      </c>
      <c r="S80" s="3" t="s">
        <v>1155</v>
      </c>
      <c r="T80" s="1">
        <v>2018</v>
      </c>
      <c r="U80" s="1" t="s">
        <v>222</v>
      </c>
      <c r="V80" s="1" t="s">
        <v>1973</v>
      </c>
      <c r="W80" s="1" t="s">
        <v>1979</v>
      </c>
      <c r="X80" s="1" t="s">
        <v>1974</v>
      </c>
      <c r="Y80" s="1" t="s">
        <v>1966</v>
      </c>
      <c r="Z80" s="2" t="s">
        <v>1899</v>
      </c>
      <c r="AA80" s="2" t="s">
        <v>1902</v>
      </c>
      <c r="AB80" s="2" t="s">
        <v>1841</v>
      </c>
      <c r="AC80" s="2" t="s">
        <v>14</v>
      </c>
      <c r="AD80" s="2" t="s">
        <v>60</v>
      </c>
      <c r="AE80" s="2" t="s">
        <v>1863</v>
      </c>
      <c r="AF80" s="2" t="s">
        <v>46</v>
      </c>
      <c r="AG80" s="2" t="s">
        <v>1882</v>
      </c>
      <c r="AH80" s="53" t="s">
        <v>1693</v>
      </c>
    </row>
    <row r="81" spans="1:39" x14ac:dyDescent="0.2">
      <c r="A81" s="22">
        <v>80</v>
      </c>
      <c r="B81" s="3">
        <v>15</v>
      </c>
      <c r="C81" s="3">
        <v>2018</v>
      </c>
      <c r="D81" s="3" t="s">
        <v>533</v>
      </c>
      <c r="E81" s="20">
        <v>43115</v>
      </c>
      <c r="F81" s="20">
        <v>43220</v>
      </c>
      <c r="G81" s="3">
        <v>92</v>
      </c>
      <c r="H81" s="8">
        <v>7</v>
      </c>
      <c r="I81" s="3">
        <v>4</v>
      </c>
      <c r="J81" s="3">
        <v>0</v>
      </c>
      <c r="K81" s="5" t="s">
        <v>868</v>
      </c>
      <c r="L81" s="5" t="s">
        <v>869</v>
      </c>
      <c r="M81" s="5" t="s">
        <v>1023</v>
      </c>
      <c r="N81" s="5" t="s">
        <v>1020</v>
      </c>
      <c r="O81" s="5" t="s">
        <v>1021</v>
      </c>
      <c r="P81" s="5" t="s">
        <v>1022</v>
      </c>
      <c r="Q81" s="3" t="s">
        <v>1153</v>
      </c>
      <c r="R81" s="3" t="s">
        <v>1154</v>
      </c>
      <c r="S81" s="3" t="s">
        <v>1155</v>
      </c>
      <c r="T81" s="1">
        <v>2018</v>
      </c>
      <c r="U81" s="1" t="s">
        <v>1970</v>
      </c>
      <c r="V81" s="1" t="s">
        <v>1971</v>
      </c>
      <c r="W81" s="1" t="s">
        <v>90</v>
      </c>
      <c r="X81" s="1" t="s">
        <v>1972</v>
      </c>
      <c r="Y81" s="1" t="s">
        <v>1967</v>
      </c>
      <c r="Z81" s="2" t="s">
        <v>1899</v>
      </c>
      <c r="AA81" s="2" t="s">
        <v>1902</v>
      </c>
      <c r="AB81" s="2" t="s">
        <v>1841</v>
      </c>
      <c r="AC81" s="2" t="s">
        <v>14</v>
      </c>
      <c r="AD81" s="2" t="s">
        <v>60</v>
      </c>
      <c r="AE81" s="2" t="s">
        <v>1863</v>
      </c>
      <c r="AF81" s="2" t="s">
        <v>46</v>
      </c>
      <c r="AG81" s="2" t="s">
        <v>1882</v>
      </c>
      <c r="AH81" s="53" t="s">
        <v>1693</v>
      </c>
    </row>
    <row r="82" spans="1:39" x14ac:dyDescent="0.2">
      <c r="A82" s="22">
        <v>81</v>
      </c>
      <c r="B82" s="3">
        <v>15</v>
      </c>
      <c r="C82" s="3">
        <v>2018</v>
      </c>
      <c r="D82" s="3" t="s">
        <v>533</v>
      </c>
      <c r="E82" s="20">
        <v>43115</v>
      </c>
      <c r="F82" s="20">
        <v>43220</v>
      </c>
      <c r="G82" s="3">
        <v>92</v>
      </c>
      <c r="H82" s="8">
        <v>7</v>
      </c>
      <c r="I82" s="3">
        <v>4</v>
      </c>
      <c r="J82" s="3">
        <v>0</v>
      </c>
      <c r="K82" s="5" t="s">
        <v>870</v>
      </c>
      <c r="L82" s="5" t="s">
        <v>871</v>
      </c>
      <c r="M82" s="5" t="s">
        <v>1024</v>
      </c>
      <c r="N82" s="5" t="s">
        <v>1025</v>
      </c>
      <c r="O82" s="5" t="s">
        <v>1026</v>
      </c>
      <c r="P82" s="5" t="s">
        <v>1027</v>
      </c>
      <c r="Q82" s="3" t="s">
        <v>1153</v>
      </c>
      <c r="R82" s="3" t="s">
        <v>1154</v>
      </c>
      <c r="S82" s="3" t="s">
        <v>1155</v>
      </c>
      <c r="T82" s="1">
        <v>2018</v>
      </c>
      <c r="U82" s="1" t="s">
        <v>368</v>
      </c>
      <c r="V82" s="1" t="s">
        <v>369</v>
      </c>
      <c r="W82" s="1" t="s">
        <v>68</v>
      </c>
      <c r="X82" s="1" t="s">
        <v>370</v>
      </c>
      <c r="Y82" s="1" t="s">
        <v>371</v>
      </c>
      <c r="Z82" s="2" t="s">
        <v>1899</v>
      </c>
      <c r="AA82" s="2" t="s">
        <v>1901</v>
      </c>
      <c r="AB82" s="2" t="s">
        <v>1840</v>
      </c>
      <c r="AC82" s="2" t="s">
        <v>1566</v>
      </c>
      <c r="AD82" s="2" t="s">
        <v>60</v>
      </c>
      <c r="AE82" s="2" t="s">
        <v>1863</v>
      </c>
      <c r="AF82" s="2" t="s">
        <v>46</v>
      </c>
      <c r="AG82" s="2" t="s">
        <v>1882</v>
      </c>
      <c r="AI82" s="48"/>
      <c r="AJ82" s="48"/>
      <c r="AK82" s="48"/>
      <c r="AL82" s="48"/>
      <c r="AM82" s="48"/>
    </row>
    <row r="83" spans="1:39" x14ac:dyDescent="0.2">
      <c r="A83" s="22">
        <v>82</v>
      </c>
      <c r="B83" s="3">
        <v>15</v>
      </c>
      <c r="C83" s="3">
        <v>2018</v>
      </c>
      <c r="D83" s="3" t="s">
        <v>533</v>
      </c>
      <c r="E83" s="20">
        <v>43115</v>
      </c>
      <c r="F83" s="20">
        <v>43220</v>
      </c>
      <c r="G83" s="3">
        <v>92</v>
      </c>
      <c r="H83" s="8">
        <v>7</v>
      </c>
      <c r="I83" s="3">
        <v>4</v>
      </c>
      <c r="J83" s="3">
        <v>0</v>
      </c>
      <c r="K83" s="5" t="s">
        <v>872</v>
      </c>
      <c r="L83" s="5" t="s">
        <v>873</v>
      </c>
      <c r="M83" s="5" t="s">
        <v>1028</v>
      </c>
      <c r="N83" s="5" t="s">
        <v>1029</v>
      </c>
      <c r="O83" s="5" t="s">
        <v>1030</v>
      </c>
      <c r="P83" s="5" t="s">
        <v>1031</v>
      </c>
      <c r="Q83" s="3" t="s">
        <v>1153</v>
      </c>
      <c r="R83" s="3" t="s">
        <v>1154</v>
      </c>
      <c r="S83" s="3" t="s">
        <v>1155</v>
      </c>
      <c r="T83" s="1">
        <v>2018</v>
      </c>
      <c r="U83" s="1" t="s">
        <v>372</v>
      </c>
      <c r="V83" s="1" t="s">
        <v>373</v>
      </c>
      <c r="W83" s="1" t="s">
        <v>374</v>
      </c>
      <c r="X83" s="1" t="s">
        <v>375</v>
      </c>
      <c r="Y83" s="1" t="s">
        <v>376</v>
      </c>
      <c r="Z83" s="2" t="s">
        <v>1899</v>
      </c>
      <c r="AA83" s="2" t="s">
        <v>1901</v>
      </c>
      <c r="AB83" s="2" t="s">
        <v>1840</v>
      </c>
      <c r="AC83" s="2" t="s">
        <v>1566</v>
      </c>
      <c r="AD83" s="2" t="s">
        <v>16</v>
      </c>
      <c r="AE83" s="2" t="s">
        <v>44</v>
      </c>
      <c r="AF83" s="2" t="s">
        <v>45</v>
      </c>
      <c r="AG83" s="2" t="s">
        <v>1882</v>
      </c>
      <c r="AI83" s="48"/>
      <c r="AJ83" s="48"/>
      <c r="AK83" s="48"/>
      <c r="AL83" s="48"/>
      <c r="AM83" s="48"/>
    </row>
    <row r="84" spans="1:39" x14ac:dyDescent="0.2">
      <c r="A84" s="22">
        <v>83</v>
      </c>
      <c r="B84" s="3">
        <v>15</v>
      </c>
      <c r="C84" s="3">
        <v>2018</v>
      </c>
      <c r="D84" s="3" t="s">
        <v>533</v>
      </c>
      <c r="E84" s="20">
        <v>43115</v>
      </c>
      <c r="F84" s="20">
        <v>43220</v>
      </c>
      <c r="G84" s="3">
        <v>92</v>
      </c>
      <c r="H84" s="8">
        <v>7</v>
      </c>
      <c r="I84" s="3">
        <v>4</v>
      </c>
      <c r="J84" s="3">
        <v>0</v>
      </c>
      <c r="K84" s="5" t="s">
        <v>874</v>
      </c>
      <c r="L84" s="5" t="s">
        <v>875</v>
      </c>
      <c r="M84" s="5" t="s">
        <v>1032</v>
      </c>
      <c r="N84" s="5" t="s">
        <v>1029</v>
      </c>
      <c r="O84" s="5" t="s">
        <v>1033</v>
      </c>
      <c r="P84" s="5" t="s">
        <v>1031</v>
      </c>
      <c r="Q84" s="3" t="s">
        <v>1153</v>
      </c>
      <c r="R84" s="3" t="s">
        <v>1154</v>
      </c>
      <c r="S84" s="3" t="s">
        <v>1155</v>
      </c>
      <c r="T84" s="1">
        <v>2018</v>
      </c>
      <c r="U84" s="1" t="s">
        <v>377</v>
      </c>
      <c r="V84" s="1" t="s">
        <v>378</v>
      </c>
      <c r="W84" s="1" t="s">
        <v>379</v>
      </c>
      <c r="X84" s="1" t="s">
        <v>380</v>
      </c>
      <c r="Y84" s="1" t="s">
        <v>381</v>
      </c>
      <c r="Z84" s="2" t="s">
        <v>1899</v>
      </c>
      <c r="AA84" s="2" t="s">
        <v>1901</v>
      </c>
      <c r="AB84" s="2" t="s">
        <v>1840</v>
      </c>
      <c r="AC84" s="2" t="s">
        <v>1566</v>
      </c>
      <c r="AD84" s="2" t="s">
        <v>16</v>
      </c>
      <c r="AE84" s="2" t="s">
        <v>44</v>
      </c>
      <c r="AF84" s="2" t="s">
        <v>45</v>
      </c>
      <c r="AG84" s="2" t="s">
        <v>51</v>
      </c>
      <c r="AI84" s="48"/>
      <c r="AJ84" s="48"/>
      <c r="AK84" s="48"/>
      <c r="AL84" s="48"/>
      <c r="AM84" s="48"/>
    </row>
    <row r="85" spans="1:39" x14ac:dyDescent="0.2">
      <c r="A85" s="22">
        <v>84</v>
      </c>
      <c r="B85" s="3">
        <v>15</v>
      </c>
      <c r="C85" s="3">
        <v>2018</v>
      </c>
      <c r="D85" s="3" t="s">
        <v>533</v>
      </c>
      <c r="E85" s="20">
        <v>43115</v>
      </c>
      <c r="F85" s="20">
        <v>43220</v>
      </c>
      <c r="G85" s="3">
        <v>92</v>
      </c>
      <c r="H85" s="8">
        <v>7</v>
      </c>
      <c r="I85" s="3">
        <v>4</v>
      </c>
      <c r="J85" s="3">
        <v>0</v>
      </c>
      <c r="K85" s="5" t="s">
        <v>876</v>
      </c>
      <c r="L85" s="5" t="s">
        <v>877</v>
      </c>
      <c r="M85" s="5" t="s">
        <v>1034</v>
      </c>
      <c r="N85" s="5" t="s">
        <v>1035</v>
      </c>
      <c r="O85" s="5" t="s">
        <v>1036</v>
      </c>
      <c r="P85" s="5" t="s">
        <v>1037</v>
      </c>
      <c r="Q85" s="3" t="s">
        <v>1153</v>
      </c>
      <c r="R85" s="3" t="s">
        <v>1154</v>
      </c>
      <c r="S85" s="3" t="s">
        <v>1155</v>
      </c>
      <c r="T85" s="1">
        <v>2018</v>
      </c>
      <c r="U85" s="1" t="s">
        <v>382</v>
      </c>
      <c r="V85" s="1" t="s">
        <v>383</v>
      </c>
      <c r="W85" s="1" t="s">
        <v>384</v>
      </c>
      <c r="X85" s="1" t="s">
        <v>385</v>
      </c>
      <c r="Y85" s="1" t="s">
        <v>386</v>
      </c>
      <c r="Z85" s="2" t="s">
        <v>530</v>
      </c>
      <c r="AA85" s="2" t="s">
        <v>2069</v>
      </c>
      <c r="AB85" s="2" t="s">
        <v>59</v>
      </c>
      <c r="AC85" s="2" t="s">
        <v>1566</v>
      </c>
      <c r="AD85" s="2" t="s">
        <v>1854</v>
      </c>
      <c r="AE85" s="2" t="s">
        <v>38</v>
      </c>
      <c r="AF85" s="2" t="s">
        <v>47</v>
      </c>
      <c r="AG85" s="2" t="s">
        <v>1562</v>
      </c>
    </row>
    <row r="86" spans="1:39" x14ac:dyDescent="0.2">
      <c r="A86" s="22">
        <v>85</v>
      </c>
      <c r="B86" s="3">
        <v>16</v>
      </c>
      <c r="C86" s="3">
        <v>2019</v>
      </c>
      <c r="D86" s="3" t="s">
        <v>536</v>
      </c>
      <c r="E86" s="20">
        <v>43220</v>
      </c>
      <c r="F86" s="20">
        <v>43313</v>
      </c>
      <c r="G86" s="3">
        <v>57</v>
      </c>
      <c r="H86" s="8">
        <v>8</v>
      </c>
      <c r="I86" s="3">
        <v>3</v>
      </c>
      <c r="J86" s="3">
        <v>0</v>
      </c>
      <c r="K86" s="5" t="s">
        <v>878</v>
      </c>
      <c r="L86" s="5" t="s">
        <v>879</v>
      </c>
      <c r="M86" s="5" t="s">
        <v>1038</v>
      </c>
      <c r="N86" s="5" t="s">
        <v>1039</v>
      </c>
      <c r="O86" s="5" t="s">
        <v>1040</v>
      </c>
      <c r="P86" s="5" t="s">
        <v>1041</v>
      </c>
      <c r="Q86" s="3" t="s">
        <v>12</v>
      </c>
      <c r="R86" s="3" t="s">
        <v>1</v>
      </c>
      <c r="S86" s="3" t="s">
        <v>80</v>
      </c>
      <c r="T86" s="1">
        <v>2018</v>
      </c>
      <c r="U86" s="1" t="s">
        <v>387</v>
      </c>
      <c r="V86" s="1" t="s">
        <v>388</v>
      </c>
      <c r="W86" s="1" t="s">
        <v>76</v>
      </c>
      <c r="X86" s="1" t="s">
        <v>389</v>
      </c>
      <c r="Y86" s="1" t="s">
        <v>390</v>
      </c>
      <c r="Z86" s="2" t="s">
        <v>1899</v>
      </c>
      <c r="AA86" s="2" t="s">
        <v>1901</v>
      </c>
      <c r="AB86" s="2" t="s">
        <v>1840</v>
      </c>
      <c r="AC86" s="2" t="s">
        <v>26</v>
      </c>
      <c r="AD86" s="2" t="s">
        <v>60</v>
      </c>
      <c r="AE86" s="2" t="s">
        <v>41</v>
      </c>
      <c r="AF86" s="2" t="s">
        <v>45</v>
      </c>
      <c r="AG86" s="2" t="s">
        <v>1695</v>
      </c>
    </row>
    <row r="87" spans="1:39" x14ac:dyDescent="0.2">
      <c r="A87" s="22">
        <v>86</v>
      </c>
      <c r="B87" s="3">
        <v>16</v>
      </c>
      <c r="C87" s="3">
        <v>2019</v>
      </c>
      <c r="D87" s="3" t="s">
        <v>536</v>
      </c>
      <c r="E87" s="20">
        <v>43220</v>
      </c>
      <c r="F87" s="20">
        <v>43313</v>
      </c>
      <c r="G87" s="3">
        <v>57</v>
      </c>
      <c r="H87" s="8">
        <v>8</v>
      </c>
      <c r="I87" s="3">
        <v>3</v>
      </c>
      <c r="J87" s="3">
        <v>0</v>
      </c>
      <c r="K87" s="5" t="s">
        <v>880</v>
      </c>
      <c r="L87" s="5" t="s">
        <v>881</v>
      </c>
      <c r="M87" s="5" t="s">
        <v>1042</v>
      </c>
      <c r="N87" s="5" t="s">
        <v>1043</v>
      </c>
      <c r="O87" s="5" t="s">
        <v>1044</v>
      </c>
      <c r="P87" s="5" t="s">
        <v>1045</v>
      </c>
      <c r="Q87" s="3" t="s">
        <v>12</v>
      </c>
      <c r="R87" s="3" t="s">
        <v>1</v>
      </c>
      <c r="S87" s="3" t="s">
        <v>80</v>
      </c>
      <c r="T87" s="1">
        <v>2018</v>
      </c>
      <c r="U87" s="1" t="s">
        <v>391</v>
      </c>
      <c r="V87" s="1" t="s">
        <v>392</v>
      </c>
      <c r="W87" s="1" t="s">
        <v>393</v>
      </c>
      <c r="X87" s="1" t="s">
        <v>394</v>
      </c>
      <c r="Y87" s="1" t="s">
        <v>395</v>
      </c>
      <c r="Z87" s="2" t="s">
        <v>1899</v>
      </c>
      <c r="AA87" s="2" t="s">
        <v>1901</v>
      </c>
      <c r="AB87" s="2" t="s">
        <v>24</v>
      </c>
      <c r="AC87" s="2" t="s">
        <v>1566</v>
      </c>
      <c r="AD87" s="2" t="s">
        <v>16</v>
      </c>
      <c r="AE87" s="2" t="s">
        <v>1562</v>
      </c>
      <c r="AF87" s="2" t="s">
        <v>45</v>
      </c>
      <c r="AG87" s="2" t="s">
        <v>1885</v>
      </c>
      <c r="AI87" s="48"/>
      <c r="AJ87" s="48"/>
      <c r="AK87" s="48"/>
      <c r="AL87" s="48"/>
    </row>
    <row r="88" spans="1:39" x14ac:dyDescent="0.2">
      <c r="A88" s="22">
        <v>87</v>
      </c>
      <c r="B88" s="3">
        <v>16</v>
      </c>
      <c r="C88" s="3">
        <v>2019</v>
      </c>
      <c r="D88" s="3" t="s">
        <v>536</v>
      </c>
      <c r="E88" s="20">
        <v>43220</v>
      </c>
      <c r="F88" s="20">
        <v>43313</v>
      </c>
      <c r="G88" s="3">
        <v>57</v>
      </c>
      <c r="H88" s="8">
        <v>8</v>
      </c>
      <c r="I88" s="3">
        <v>3</v>
      </c>
      <c r="J88" s="3">
        <v>0</v>
      </c>
      <c r="K88" s="5" t="s">
        <v>882</v>
      </c>
      <c r="L88" s="5" t="s">
        <v>990</v>
      </c>
      <c r="M88" s="5" t="s">
        <v>1046</v>
      </c>
      <c r="N88" s="5" t="s">
        <v>1047</v>
      </c>
      <c r="O88" s="5" t="s">
        <v>1048</v>
      </c>
      <c r="P88" s="5" t="s">
        <v>1049</v>
      </c>
      <c r="Q88" s="3" t="s">
        <v>12</v>
      </c>
      <c r="R88" s="3" t="s">
        <v>1</v>
      </c>
      <c r="S88" s="3" t="s">
        <v>80</v>
      </c>
      <c r="T88" s="1">
        <v>2018</v>
      </c>
      <c r="U88" s="1" t="s">
        <v>396</v>
      </c>
      <c r="V88" s="1" t="s">
        <v>397</v>
      </c>
      <c r="W88" s="1" t="s">
        <v>398</v>
      </c>
      <c r="X88" s="1" t="s">
        <v>399</v>
      </c>
      <c r="Y88" s="1" t="s">
        <v>400</v>
      </c>
      <c r="Z88" s="2" t="s">
        <v>15</v>
      </c>
      <c r="AA88" s="2" t="s">
        <v>1902</v>
      </c>
      <c r="AB88" s="2" t="s">
        <v>1841</v>
      </c>
      <c r="AC88" s="2" t="s">
        <v>14</v>
      </c>
      <c r="AD88" s="2" t="s">
        <v>15</v>
      </c>
      <c r="AE88" s="2" t="s">
        <v>1894</v>
      </c>
      <c r="AF88" s="2" t="s">
        <v>46</v>
      </c>
      <c r="AG88" s="2" t="s">
        <v>54</v>
      </c>
    </row>
    <row r="89" spans="1:39" x14ac:dyDescent="0.2">
      <c r="A89" s="22">
        <v>88</v>
      </c>
      <c r="B89" s="3">
        <v>17</v>
      </c>
      <c r="C89" s="3">
        <v>2019</v>
      </c>
      <c r="D89" s="3" t="s">
        <v>532</v>
      </c>
      <c r="E89" s="20">
        <v>43313</v>
      </c>
      <c r="F89" s="20">
        <v>43405</v>
      </c>
      <c r="G89" s="3">
        <v>120</v>
      </c>
      <c r="H89" s="8">
        <v>14</v>
      </c>
      <c r="I89" s="3">
        <v>5</v>
      </c>
      <c r="J89" s="3">
        <v>0</v>
      </c>
      <c r="K89" s="5" t="s">
        <v>883</v>
      </c>
      <c r="L89" s="5" t="s">
        <v>884</v>
      </c>
      <c r="M89" s="5" t="s">
        <v>1050</v>
      </c>
      <c r="N89" s="5" t="s">
        <v>1051</v>
      </c>
      <c r="O89" s="5" t="s">
        <v>1052</v>
      </c>
      <c r="P89" s="5" t="s">
        <v>1053</v>
      </c>
      <c r="Q89" s="3" t="s">
        <v>1156</v>
      </c>
      <c r="R89" s="3" t="s">
        <v>1157</v>
      </c>
      <c r="S89" s="3" t="s">
        <v>1158</v>
      </c>
      <c r="T89" s="1">
        <v>2018</v>
      </c>
      <c r="U89" s="1" t="s">
        <v>401</v>
      </c>
      <c r="V89" s="1" t="s">
        <v>402</v>
      </c>
      <c r="W89" s="1" t="s">
        <v>403</v>
      </c>
      <c r="X89" s="1" t="s">
        <v>404</v>
      </c>
      <c r="Y89" s="1" t="s">
        <v>405</v>
      </c>
      <c r="Z89" s="2" t="s">
        <v>1899</v>
      </c>
      <c r="AA89" s="2" t="s">
        <v>1902</v>
      </c>
      <c r="AB89" s="2" t="s">
        <v>1841</v>
      </c>
      <c r="AC89" s="2" t="s">
        <v>1566</v>
      </c>
      <c r="AD89" s="2" t="s">
        <v>16</v>
      </c>
      <c r="AE89" s="2" t="s">
        <v>44</v>
      </c>
      <c r="AF89" s="2" t="s">
        <v>45</v>
      </c>
      <c r="AG89" s="2" t="s">
        <v>1947</v>
      </c>
    </row>
    <row r="90" spans="1:39" x14ac:dyDescent="0.2">
      <c r="A90" s="22">
        <v>89</v>
      </c>
      <c r="B90" s="3">
        <v>17</v>
      </c>
      <c r="C90" s="3">
        <v>2019</v>
      </c>
      <c r="D90" s="3" t="s">
        <v>532</v>
      </c>
      <c r="E90" s="20">
        <v>43313</v>
      </c>
      <c r="F90" s="20">
        <v>43405</v>
      </c>
      <c r="G90" s="3">
        <v>120</v>
      </c>
      <c r="H90" s="8">
        <v>14</v>
      </c>
      <c r="I90" s="3">
        <v>5</v>
      </c>
      <c r="J90" s="3">
        <v>0</v>
      </c>
      <c r="K90" s="5" t="s">
        <v>885</v>
      </c>
      <c r="L90" s="5" t="s">
        <v>886</v>
      </c>
      <c r="M90" s="5" t="s">
        <v>1054</v>
      </c>
      <c r="N90" s="5" t="s">
        <v>1055</v>
      </c>
      <c r="O90" s="5" t="s">
        <v>1056</v>
      </c>
      <c r="P90" s="5" t="s">
        <v>1057</v>
      </c>
      <c r="Q90" s="3" t="s">
        <v>1156</v>
      </c>
      <c r="R90" s="3" t="s">
        <v>1157</v>
      </c>
      <c r="S90" s="3" t="s">
        <v>1158</v>
      </c>
      <c r="T90" s="1">
        <v>2018</v>
      </c>
      <c r="U90" s="1" t="s">
        <v>406</v>
      </c>
      <c r="V90" s="1" t="s">
        <v>407</v>
      </c>
      <c r="W90" s="1" t="s">
        <v>408</v>
      </c>
      <c r="X90" s="1" t="s">
        <v>409</v>
      </c>
      <c r="Y90" s="1" t="s">
        <v>410</v>
      </c>
      <c r="Z90" s="2" t="s">
        <v>1899</v>
      </c>
      <c r="AA90" s="2" t="s">
        <v>1901</v>
      </c>
      <c r="AB90" s="2" t="s">
        <v>1840</v>
      </c>
      <c r="AC90" s="2" t="s">
        <v>1566</v>
      </c>
      <c r="AD90" s="2" t="s">
        <v>16</v>
      </c>
      <c r="AE90" s="2" t="s">
        <v>44</v>
      </c>
      <c r="AF90" s="2" t="s">
        <v>45</v>
      </c>
      <c r="AG90" s="2" t="s">
        <v>1562</v>
      </c>
      <c r="AI90" s="48"/>
      <c r="AJ90" s="48"/>
      <c r="AK90" s="48"/>
    </row>
    <row r="91" spans="1:39" x14ac:dyDescent="0.2">
      <c r="A91" s="22">
        <v>90</v>
      </c>
      <c r="B91" s="3">
        <v>17</v>
      </c>
      <c r="C91" s="3">
        <v>2019</v>
      </c>
      <c r="D91" s="3" t="s">
        <v>532</v>
      </c>
      <c r="E91" s="20">
        <v>43313</v>
      </c>
      <c r="F91" s="20">
        <v>43405</v>
      </c>
      <c r="G91" s="3">
        <v>120</v>
      </c>
      <c r="H91" s="8">
        <v>14</v>
      </c>
      <c r="I91" s="3">
        <v>5</v>
      </c>
      <c r="J91" s="3">
        <v>0</v>
      </c>
      <c r="K91" s="5" t="s">
        <v>887</v>
      </c>
      <c r="L91" s="5" t="s">
        <v>888</v>
      </c>
      <c r="M91" s="5" t="s">
        <v>1058</v>
      </c>
      <c r="N91" s="5" t="s">
        <v>1059</v>
      </c>
      <c r="O91" s="5" t="s">
        <v>1060</v>
      </c>
      <c r="P91" s="5" t="s">
        <v>1061</v>
      </c>
      <c r="Q91" s="3" t="s">
        <v>1156</v>
      </c>
      <c r="R91" s="3" t="s">
        <v>1157</v>
      </c>
      <c r="S91" s="3" t="s">
        <v>1158</v>
      </c>
      <c r="T91" s="1">
        <v>2018</v>
      </c>
      <c r="U91" s="1" t="s">
        <v>411</v>
      </c>
      <c r="V91" s="1" t="s">
        <v>412</v>
      </c>
      <c r="W91" s="1" t="s">
        <v>413</v>
      </c>
      <c r="X91" s="1" t="s">
        <v>414</v>
      </c>
      <c r="Y91" s="1" t="s">
        <v>415</v>
      </c>
      <c r="Z91" s="2" t="s">
        <v>1899</v>
      </c>
      <c r="AA91" s="2" t="s">
        <v>1901</v>
      </c>
      <c r="AB91" s="2" t="s">
        <v>1840</v>
      </c>
      <c r="AC91" s="2" t="s">
        <v>1566</v>
      </c>
      <c r="AD91" s="2" t="s">
        <v>1696</v>
      </c>
      <c r="AE91" s="2" t="s">
        <v>1697</v>
      </c>
      <c r="AF91" s="2" t="s">
        <v>45</v>
      </c>
      <c r="AG91" s="2" t="s">
        <v>1948</v>
      </c>
    </row>
    <row r="92" spans="1:39" x14ac:dyDescent="0.2">
      <c r="A92" s="22">
        <v>91</v>
      </c>
      <c r="B92" s="3">
        <v>17</v>
      </c>
      <c r="C92" s="3">
        <v>2019</v>
      </c>
      <c r="D92" s="3" t="s">
        <v>532</v>
      </c>
      <c r="E92" s="20">
        <v>43313</v>
      </c>
      <c r="F92" s="20">
        <v>43405</v>
      </c>
      <c r="G92" s="3">
        <v>120</v>
      </c>
      <c r="H92" s="8">
        <v>14</v>
      </c>
      <c r="I92" s="3">
        <v>5</v>
      </c>
      <c r="J92" s="3">
        <v>0</v>
      </c>
      <c r="K92" s="5" t="s">
        <v>889</v>
      </c>
      <c r="L92" s="5" t="s">
        <v>890</v>
      </c>
      <c r="M92" s="5" t="s">
        <v>1062</v>
      </c>
      <c r="N92" s="5" t="s">
        <v>1063</v>
      </c>
      <c r="O92" s="5" t="s">
        <v>1064</v>
      </c>
      <c r="P92" s="5" t="s">
        <v>1065</v>
      </c>
      <c r="Q92" s="3" t="s">
        <v>1156</v>
      </c>
      <c r="R92" s="3" t="s">
        <v>1157</v>
      </c>
      <c r="S92" s="3" t="s">
        <v>1158</v>
      </c>
      <c r="T92" s="1">
        <v>2018</v>
      </c>
      <c r="U92" s="1" t="s">
        <v>416</v>
      </c>
      <c r="V92" s="1" t="s">
        <v>417</v>
      </c>
      <c r="W92" s="1" t="s">
        <v>418</v>
      </c>
      <c r="X92" s="1" t="s">
        <v>419</v>
      </c>
      <c r="Y92" s="1" t="s">
        <v>420</v>
      </c>
      <c r="Z92" s="2" t="s">
        <v>1899</v>
      </c>
      <c r="AA92" s="2" t="s">
        <v>1902</v>
      </c>
      <c r="AB92" s="2" t="s">
        <v>1841</v>
      </c>
      <c r="AC92" s="2" t="s">
        <v>1698</v>
      </c>
      <c r="AD92" s="2" t="s">
        <v>16</v>
      </c>
      <c r="AE92" s="2" t="s">
        <v>44</v>
      </c>
      <c r="AF92" s="2" t="s">
        <v>45</v>
      </c>
      <c r="AG92" s="2" t="s">
        <v>50</v>
      </c>
    </row>
    <row r="93" spans="1:39" x14ac:dyDescent="0.2">
      <c r="A93" s="22">
        <v>92</v>
      </c>
      <c r="B93" s="3">
        <v>17</v>
      </c>
      <c r="C93" s="3">
        <v>2019</v>
      </c>
      <c r="D93" s="3" t="s">
        <v>532</v>
      </c>
      <c r="E93" s="20">
        <v>43313</v>
      </c>
      <c r="F93" s="20">
        <v>43405</v>
      </c>
      <c r="G93" s="3">
        <v>120</v>
      </c>
      <c r="H93" s="8">
        <v>14</v>
      </c>
      <c r="I93" s="3">
        <v>5</v>
      </c>
      <c r="J93" s="3">
        <v>0</v>
      </c>
      <c r="K93" s="5" t="s">
        <v>891</v>
      </c>
      <c r="L93" s="5" t="s">
        <v>892</v>
      </c>
      <c r="M93" s="5" t="s">
        <v>1066</v>
      </c>
      <c r="N93" s="5" t="s">
        <v>1067</v>
      </c>
      <c r="O93" s="5" t="s">
        <v>1068</v>
      </c>
      <c r="P93" s="5" t="s">
        <v>1069</v>
      </c>
      <c r="Q93" s="3" t="s">
        <v>1156</v>
      </c>
      <c r="R93" s="3" t="s">
        <v>1157</v>
      </c>
      <c r="S93" s="3" t="s">
        <v>1158</v>
      </c>
      <c r="T93" s="1">
        <v>2018</v>
      </c>
      <c r="U93" s="1" t="s">
        <v>421</v>
      </c>
      <c r="V93" s="1" t="s">
        <v>422</v>
      </c>
      <c r="W93" s="1" t="s">
        <v>423</v>
      </c>
      <c r="X93" s="1" t="s">
        <v>424</v>
      </c>
      <c r="Y93" s="1" t="s">
        <v>425</v>
      </c>
      <c r="Z93" s="2" t="s">
        <v>15</v>
      </c>
      <c r="AA93" s="2" t="s">
        <v>1902</v>
      </c>
      <c r="AB93" s="2" t="s">
        <v>1841</v>
      </c>
      <c r="AC93" s="2" t="s">
        <v>1921</v>
      </c>
      <c r="AD93" s="2" t="s">
        <v>15</v>
      </c>
      <c r="AE93" s="2" t="s">
        <v>1894</v>
      </c>
      <c r="AF93" s="2" t="s">
        <v>46</v>
      </c>
      <c r="AG93" s="2" t="s">
        <v>58</v>
      </c>
    </row>
    <row r="94" spans="1:39" x14ac:dyDescent="0.2">
      <c r="A94" s="22">
        <v>93</v>
      </c>
      <c r="B94" s="3">
        <v>18</v>
      </c>
      <c r="C94" s="3">
        <v>2019</v>
      </c>
      <c r="D94" s="3" t="s">
        <v>533</v>
      </c>
      <c r="E94" s="20">
        <v>43405</v>
      </c>
      <c r="F94" s="20">
        <v>43511</v>
      </c>
      <c r="G94" s="3">
        <v>83</v>
      </c>
      <c r="H94" s="8">
        <v>9</v>
      </c>
      <c r="I94" s="3">
        <v>5</v>
      </c>
      <c r="J94" s="3">
        <v>0</v>
      </c>
      <c r="K94" s="5" t="s">
        <v>893</v>
      </c>
      <c r="L94" s="5" t="s">
        <v>894</v>
      </c>
      <c r="M94" s="5" t="s">
        <v>1070</v>
      </c>
      <c r="N94" s="5" t="s">
        <v>1071</v>
      </c>
      <c r="O94" s="5" t="s">
        <v>1072</v>
      </c>
      <c r="P94" s="5" t="s">
        <v>1073</v>
      </c>
      <c r="Q94" s="3" t="s">
        <v>1159</v>
      </c>
      <c r="R94" s="3" t="s">
        <v>1160</v>
      </c>
      <c r="S94" s="3" t="s">
        <v>1161</v>
      </c>
      <c r="T94" s="1">
        <v>2018</v>
      </c>
      <c r="U94" s="1" t="s">
        <v>426</v>
      </c>
      <c r="V94" s="1" t="s">
        <v>427</v>
      </c>
      <c r="W94" s="1" t="s">
        <v>428</v>
      </c>
      <c r="X94" s="1" t="s">
        <v>429</v>
      </c>
      <c r="Y94" s="1" t="s">
        <v>430</v>
      </c>
      <c r="Z94" s="2" t="s">
        <v>1899</v>
      </c>
      <c r="AA94" s="2" t="s">
        <v>1902</v>
      </c>
      <c r="AB94" s="2" t="s">
        <v>1841</v>
      </c>
      <c r="AC94" s="2" t="s">
        <v>14</v>
      </c>
      <c r="AD94" s="2" t="s">
        <v>60</v>
      </c>
      <c r="AE94" s="2" t="s">
        <v>1863</v>
      </c>
      <c r="AF94" s="2" t="s">
        <v>46</v>
      </c>
      <c r="AG94" s="2" t="s">
        <v>1882</v>
      </c>
    </row>
    <row r="95" spans="1:39" x14ac:dyDescent="0.2">
      <c r="A95" s="22">
        <v>94</v>
      </c>
      <c r="B95" s="3">
        <v>18</v>
      </c>
      <c r="C95" s="3">
        <v>2019</v>
      </c>
      <c r="D95" s="3" t="s">
        <v>533</v>
      </c>
      <c r="E95" s="20">
        <v>43405</v>
      </c>
      <c r="F95" s="20">
        <v>43511</v>
      </c>
      <c r="G95" s="3">
        <v>83</v>
      </c>
      <c r="H95" s="8">
        <v>9</v>
      </c>
      <c r="I95" s="3">
        <v>5</v>
      </c>
      <c r="J95" s="3">
        <v>0</v>
      </c>
      <c r="K95" s="5" t="s">
        <v>895</v>
      </c>
      <c r="L95" s="5" t="s">
        <v>896</v>
      </c>
      <c r="M95" s="5" t="s">
        <v>1074</v>
      </c>
      <c r="N95" s="5" t="s">
        <v>1075</v>
      </c>
      <c r="O95" s="5" t="s">
        <v>1076</v>
      </c>
      <c r="P95" s="5" t="s">
        <v>1077</v>
      </c>
      <c r="Q95" s="3" t="s">
        <v>1159</v>
      </c>
      <c r="R95" s="3" t="s">
        <v>1160</v>
      </c>
      <c r="S95" s="3" t="s">
        <v>1161</v>
      </c>
      <c r="T95" s="1">
        <v>2019</v>
      </c>
      <c r="U95" s="1" t="s">
        <v>431</v>
      </c>
      <c r="V95" s="1" t="s">
        <v>432</v>
      </c>
      <c r="W95" s="1" t="s">
        <v>433</v>
      </c>
      <c r="X95" s="1" t="s">
        <v>434</v>
      </c>
      <c r="Y95" s="1" t="s">
        <v>435</v>
      </c>
      <c r="Z95" s="2" t="s">
        <v>1899</v>
      </c>
      <c r="AA95" s="2" t="s">
        <v>1901</v>
      </c>
      <c r="AB95" s="2" t="s">
        <v>1840</v>
      </c>
      <c r="AC95" s="2" t="s">
        <v>1566</v>
      </c>
      <c r="AD95" s="2" t="s">
        <v>16</v>
      </c>
      <c r="AE95" s="2" t="s">
        <v>44</v>
      </c>
      <c r="AF95" s="2" t="s">
        <v>45</v>
      </c>
      <c r="AG95" s="2" t="s">
        <v>1562</v>
      </c>
      <c r="AI95" s="48"/>
      <c r="AJ95" s="48"/>
      <c r="AK95" s="48"/>
    </row>
    <row r="96" spans="1:39" x14ac:dyDescent="0.2">
      <c r="A96" s="22">
        <v>95</v>
      </c>
      <c r="B96" s="3">
        <v>18</v>
      </c>
      <c r="C96" s="3">
        <v>2019</v>
      </c>
      <c r="D96" s="3" t="s">
        <v>533</v>
      </c>
      <c r="E96" s="20">
        <v>43405</v>
      </c>
      <c r="F96" s="20">
        <v>43511</v>
      </c>
      <c r="G96" s="3">
        <v>83</v>
      </c>
      <c r="H96" s="8">
        <v>9</v>
      </c>
      <c r="I96" s="3">
        <v>5</v>
      </c>
      <c r="J96" s="3">
        <v>0</v>
      </c>
      <c r="K96" s="5" t="s">
        <v>897</v>
      </c>
      <c r="L96" s="5" t="s">
        <v>898</v>
      </c>
      <c r="M96" s="5" t="s">
        <v>1078</v>
      </c>
      <c r="N96" s="5" t="s">
        <v>1079</v>
      </c>
      <c r="O96" s="5" t="s">
        <v>1080</v>
      </c>
      <c r="P96" s="5" t="s">
        <v>1081</v>
      </c>
      <c r="Q96" s="3" t="s">
        <v>1159</v>
      </c>
      <c r="R96" s="3" t="s">
        <v>1160</v>
      </c>
      <c r="S96" s="3" t="s">
        <v>1161</v>
      </c>
      <c r="T96" s="1">
        <v>2019</v>
      </c>
      <c r="U96" s="1" t="s">
        <v>436</v>
      </c>
      <c r="V96" s="1" t="s">
        <v>437</v>
      </c>
      <c r="W96" s="1" t="s">
        <v>438</v>
      </c>
      <c r="X96" s="1" t="s">
        <v>439</v>
      </c>
      <c r="Y96" s="1" t="s">
        <v>440</v>
      </c>
      <c r="Z96" s="2" t="s">
        <v>991</v>
      </c>
      <c r="AA96" s="2" t="s">
        <v>1902</v>
      </c>
      <c r="AB96" s="2" t="s">
        <v>1841</v>
      </c>
      <c r="AC96" s="2" t="s">
        <v>14</v>
      </c>
      <c r="AD96" s="2" t="s">
        <v>61</v>
      </c>
      <c r="AE96" s="2" t="s">
        <v>37</v>
      </c>
      <c r="AF96" s="2" t="s">
        <v>45</v>
      </c>
      <c r="AG96" s="2" t="s">
        <v>1937</v>
      </c>
    </row>
    <row r="97" spans="1:37" x14ac:dyDescent="0.2">
      <c r="A97" s="22">
        <v>96</v>
      </c>
      <c r="B97" s="3">
        <v>18</v>
      </c>
      <c r="C97" s="3">
        <v>2019</v>
      </c>
      <c r="D97" s="3" t="s">
        <v>533</v>
      </c>
      <c r="E97" s="20">
        <v>43405</v>
      </c>
      <c r="F97" s="20">
        <v>43511</v>
      </c>
      <c r="G97" s="3">
        <v>83</v>
      </c>
      <c r="H97" s="8">
        <v>9</v>
      </c>
      <c r="I97" s="3">
        <v>5</v>
      </c>
      <c r="J97" s="3">
        <v>0</v>
      </c>
      <c r="K97" s="5" t="s">
        <v>899</v>
      </c>
      <c r="L97" s="5" t="s">
        <v>900</v>
      </c>
      <c r="M97" s="5" t="s">
        <v>1082</v>
      </c>
      <c r="N97" s="5" t="s">
        <v>1083</v>
      </c>
      <c r="O97" s="5" t="s">
        <v>1084</v>
      </c>
      <c r="P97" s="5" t="s">
        <v>1085</v>
      </c>
      <c r="Q97" s="3" t="s">
        <v>1159</v>
      </c>
      <c r="R97" s="3" t="s">
        <v>1160</v>
      </c>
      <c r="S97" s="3" t="s">
        <v>1161</v>
      </c>
      <c r="T97" s="1">
        <v>2018</v>
      </c>
      <c r="U97" s="1" t="s">
        <v>441</v>
      </c>
      <c r="V97" s="1" t="s">
        <v>442</v>
      </c>
      <c r="W97" s="1" t="s">
        <v>443</v>
      </c>
      <c r="X97" s="1" t="s">
        <v>444</v>
      </c>
      <c r="Y97" s="1" t="s">
        <v>445</v>
      </c>
      <c r="Z97" s="2" t="s">
        <v>15</v>
      </c>
      <c r="AA97" s="2" t="s">
        <v>1902</v>
      </c>
      <c r="AB97" s="2" t="s">
        <v>1841</v>
      </c>
      <c r="AC97" s="2" t="s">
        <v>14</v>
      </c>
      <c r="AD97" s="2" t="s">
        <v>15</v>
      </c>
      <c r="AE97" s="2" t="s">
        <v>1860</v>
      </c>
      <c r="AF97" s="2" t="s">
        <v>46</v>
      </c>
      <c r="AG97" s="2" t="s">
        <v>1882</v>
      </c>
    </row>
    <row r="98" spans="1:37" x14ac:dyDescent="0.2">
      <c r="A98" s="22">
        <v>97</v>
      </c>
      <c r="B98" s="3">
        <v>18</v>
      </c>
      <c r="C98" s="3">
        <v>2019</v>
      </c>
      <c r="D98" s="3" t="s">
        <v>533</v>
      </c>
      <c r="E98" s="20">
        <v>43405</v>
      </c>
      <c r="F98" s="20">
        <v>43511</v>
      </c>
      <c r="G98" s="3">
        <v>83</v>
      </c>
      <c r="H98" s="8">
        <v>9</v>
      </c>
      <c r="I98" s="3">
        <v>5</v>
      </c>
      <c r="J98" s="3">
        <v>0</v>
      </c>
      <c r="K98" s="5" t="s">
        <v>901</v>
      </c>
      <c r="L98" s="5" t="s">
        <v>902</v>
      </c>
      <c r="M98" s="5" t="s">
        <v>1086</v>
      </c>
      <c r="N98" s="5" t="s">
        <v>1087</v>
      </c>
      <c r="O98" s="5" t="s">
        <v>1088</v>
      </c>
      <c r="P98" s="5" t="s">
        <v>1089</v>
      </c>
      <c r="Q98" s="3" t="s">
        <v>1159</v>
      </c>
      <c r="R98" s="3" t="s">
        <v>1160</v>
      </c>
      <c r="S98" s="3" t="s">
        <v>1161</v>
      </c>
      <c r="T98" s="1">
        <v>2019</v>
      </c>
      <c r="U98" s="1" t="s">
        <v>446</v>
      </c>
      <c r="V98" s="1" t="s">
        <v>447</v>
      </c>
      <c r="W98" s="1" t="s">
        <v>313</v>
      </c>
      <c r="X98" s="1" t="s">
        <v>448</v>
      </c>
      <c r="Y98" s="1" t="s">
        <v>449</v>
      </c>
      <c r="Z98" s="2" t="s">
        <v>15</v>
      </c>
      <c r="AA98" s="2" t="s">
        <v>1901</v>
      </c>
      <c r="AB98" s="2" t="s">
        <v>1931</v>
      </c>
      <c r="AC98" s="2" t="s">
        <v>34</v>
      </c>
      <c r="AD98" s="2" t="s">
        <v>15</v>
      </c>
      <c r="AE98" s="2" t="s">
        <v>1926</v>
      </c>
      <c r="AF98" s="2" t="s">
        <v>46</v>
      </c>
      <c r="AG98" s="2" t="s">
        <v>1903</v>
      </c>
    </row>
    <row r="99" spans="1:37" x14ac:dyDescent="0.2">
      <c r="A99" s="22">
        <v>98</v>
      </c>
      <c r="B99" s="3">
        <v>19</v>
      </c>
      <c r="C99" s="3">
        <v>2019</v>
      </c>
      <c r="D99" s="3" t="s">
        <v>534</v>
      </c>
      <c r="E99" s="20">
        <v>43511</v>
      </c>
      <c r="F99" s="20">
        <v>43585</v>
      </c>
      <c r="G99" s="3">
        <v>112</v>
      </c>
      <c r="H99" s="8">
        <v>9</v>
      </c>
      <c r="I99" s="3">
        <v>4</v>
      </c>
      <c r="J99" s="3">
        <v>0</v>
      </c>
      <c r="K99" s="5" t="s">
        <v>903</v>
      </c>
      <c r="L99" s="5" t="s">
        <v>904</v>
      </c>
      <c r="M99" s="5" t="s">
        <v>1090</v>
      </c>
      <c r="N99" s="5" t="s">
        <v>1091</v>
      </c>
      <c r="O99" s="5" t="s">
        <v>1092</v>
      </c>
      <c r="P99" s="5" t="s">
        <v>1093</v>
      </c>
      <c r="Q99" s="3" t="s">
        <v>1162</v>
      </c>
      <c r="R99" s="3" t="s">
        <v>1163</v>
      </c>
      <c r="S99" s="3" t="s">
        <v>1164</v>
      </c>
      <c r="T99" s="1">
        <v>2019</v>
      </c>
      <c r="U99" s="1" t="s">
        <v>450</v>
      </c>
      <c r="V99" s="1" t="s">
        <v>451</v>
      </c>
      <c r="W99" s="1" t="s">
        <v>452</v>
      </c>
      <c r="X99" s="1" t="s">
        <v>453</v>
      </c>
      <c r="Y99" s="1" t="s">
        <v>454</v>
      </c>
      <c r="Z99" s="2" t="s">
        <v>1899</v>
      </c>
      <c r="AA99" s="2" t="s">
        <v>1902</v>
      </c>
      <c r="AB99" s="2" t="s">
        <v>1841</v>
      </c>
      <c r="AC99" s="2" t="s">
        <v>14</v>
      </c>
      <c r="AD99" s="2" t="s">
        <v>60</v>
      </c>
      <c r="AE99" s="2" t="s">
        <v>1863</v>
      </c>
      <c r="AF99" s="2" t="s">
        <v>46</v>
      </c>
      <c r="AG99" s="2" t="s">
        <v>1872</v>
      </c>
    </row>
    <row r="100" spans="1:37" x14ac:dyDescent="0.2">
      <c r="A100" s="22">
        <v>99</v>
      </c>
      <c r="B100" s="3">
        <v>19</v>
      </c>
      <c r="C100" s="3">
        <v>2019</v>
      </c>
      <c r="D100" s="3" t="s">
        <v>534</v>
      </c>
      <c r="E100" s="20">
        <v>43511</v>
      </c>
      <c r="F100" s="20">
        <v>43585</v>
      </c>
      <c r="G100" s="3">
        <v>112</v>
      </c>
      <c r="H100" s="8">
        <v>9</v>
      </c>
      <c r="I100" s="3">
        <v>4</v>
      </c>
      <c r="J100" s="3">
        <v>0</v>
      </c>
      <c r="K100" s="5" t="s">
        <v>905</v>
      </c>
      <c r="L100" s="5" t="s">
        <v>906</v>
      </c>
      <c r="M100" s="5" t="s">
        <v>1094</v>
      </c>
      <c r="N100" s="5" t="s">
        <v>1095</v>
      </c>
      <c r="O100" s="5" t="s">
        <v>1096</v>
      </c>
      <c r="P100" s="5" t="s">
        <v>1097</v>
      </c>
      <c r="Q100" s="3" t="s">
        <v>1162</v>
      </c>
      <c r="R100" s="3" t="s">
        <v>1163</v>
      </c>
      <c r="S100" s="3" t="s">
        <v>1164</v>
      </c>
      <c r="T100" s="1">
        <v>2019</v>
      </c>
      <c r="U100" s="1" t="s">
        <v>455</v>
      </c>
      <c r="V100" s="1" t="s">
        <v>456</v>
      </c>
      <c r="W100" s="1" t="s">
        <v>140</v>
      </c>
      <c r="X100" s="1" t="s">
        <v>457</v>
      </c>
      <c r="Y100" s="1" t="s">
        <v>458</v>
      </c>
      <c r="Z100" s="2" t="s">
        <v>991</v>
      </c>
      <c r="AA100" s="2" t="s">
        <v>1902</v>
      </c>
      <c r="AB100" s="2" t="s">
        <v>1841</v>
      </c>
      <c r="AC100" s="2" t="s">
        <v>14</v>
      </c>
      <c r="AD100" s="2" t="s">
        <v>61</v>
      </c>
      <c r="AE100" s="2" t="s">
        <v>37</v>
      </c>
      <c r="AF100" s="2" t="s">
        <v>45</v>
      </c>
      <c r="AG100" s="2" t="s">
        <v>1938</v>
      </c>
    </row>
    <row r="101" spans="1:37" x14ac:dyDescent="0.2">
      <c r="A101" s="22">
        <v>100</v>
      </c>
      <c r="B101" s="3">
        <v>19</v>
      </c>
      <c r="C101" s="3">
        <v>2019</v>
      </c>
      <c r="D101" s="3" t="s">
        <v>534</v>
      </c>
      <c r="E101" s="20">
        <v>43511</v>
      </c>
      <c r="F101" s="20">
        <v>43585</v>
      </c>
      <c r="G101" s="3">
        <v>112</v>
      </c>
      <c r="H101" s="8">
        <v>9</v>
      </c>
      <c r="I101" s="3">
        <v>4</v>
      </c>
      <c r="J101" s="3">
        <v>0</v>
      </c>
      <c r="K101" s="5" t="s">
        <v>66</v>
      </c>
      <c r="L101" s="5" t="s">
        <v>907</v>
      </c>
      <c r="M101" s="5" t="s">
        <v>1098</v>
      </c>
      <c r="N101" s="5" t="s">
        <v>1099</v>
      </c>
      <c r="O101" s="5" t="s">
        <v>460</v>
      </c>
      <c r="P101" s="5" t="s">
        <v>1100</v>
      </c>
      <c r="Q101" s="3" t="s">
        <v>1162</v>
      </c>
      <c r="R101" s="3" t="s">
        <v>1163</v>
      </c>
      <c r="S101" s="3" t="s">
        <v>1164</v>
      </c>
      <c r="T101" s="1">
        <v>2019</v>
      </c>
      <c r="U101" s="1" t="s">
        <v>459</v>
      </c>
      <c r="V101" s="1" t="s">
        <v>460</v>
      </c>
      <c r="W101" s="1" t="s">
        <v>461</v>
      </c>
      <c r="X101" s="1" t="s">
        <v>462</v>
      </c>
      <c r="Y101" s="1" t="s">
        <v>79</v>
      </c>
      <c r="Z101" s="2" t="s">
        <v>15</v>
      </c>
      <c r="AA101" s="2" t="s">
        <v>1901</v>
      </c>
      <c r="AB101" s="2" t="s">
        <v>1840</v>
      </c>
      <c r="AC101" s="2" t="s">
        <v>1701</v>
      </c>
      <c r="AD101" s="2" t="s">
        <v>15</v>
      </c>
      <c r="AE101" s="2" t="s">
        <v>1925</v>
      </c>
      <c r="AF101" s="2" t="s">
        <v>46</v>
      </c>
      <c r="AG101" s="2" t="s">
        <v>1872</v>
      </c>
    </row>
    <row r="102" spans="1:37" x14ac:dyDescent="0.2">
      <c r="A102" s="22">
        <v>101</v>
      </c>
      <c r="B102" s="3">
        <v>19</v>
      </c>
      <c r="C102" s="3">
        <v>2019</v>
      </c>
      <c r="D102" s="3" t="s">
        <v>534</v>
      </c>
      <c r="E102" s="20">
        <v>43511</v>
      </c>
      <c r="F102" s="20">
        <v>43585</v>
      </c>
      <c r="G102" s="3">
        <v>112</v>
      </c>
      <c r="H102" s="8">
        <v>9</v>
      </c>
      <c r="I102" s="3">
        <v>4</v>
      </c>
      <c r="J102" s="3">
        <v>0</v>
      </c>
      <c r="K102" s="5" t="s">
        <v>908</v>
      </c>
      <c r="L102" s="5" t="s">
        <v>909</v>
      </c>
      <c r="M102" s="5" t="s">
        <v>1101</v>
      </c>
      <c r="N102" s="5" t="s">
        <v>1102</v>
      </c>
      <c r="O102" s="5" t="s">
        <v>1103</v>
      </c>
      <c r="P102" s="5" t="s">
        <v>1104</v>
      </c>
      <c r="Q102" s="3" t="s">
        <v>1162</v>
      </c>
      <c r="R102" s="3" t="s">
        <v>1163</v>
      </c>
      <c r="S102" s="3" t="s">
        <v>1164</v>
      </c>
      <c r="T102" s="1">
        <v>2019</v>
      </c>
      <c r="U102" s="1" t="s">
        <v>463</v>
      </c>
      <c r="V102" s="1" t="s">
        <v>464</v>
      </c>
      <c r="W102" s="1" t="s">
        <v>465</v>
      </c>
      <c r="X102" s="1" t="s">
        <v>466</v>
      </c>
      <c r="Y102" s="1" t="s">
        <v>467</v>
      </c>
      <c r="Z102" s="2" t="s">
        <v>15</v>
      </c>
      <c r="AA102" s="2" t="s">
        <v>1902</v>
      </c>
      <c r="AB102" s="2" t="s">
        <v>1841</v>
      </c>
      <c r="AC102" s="2" t="s">
        <v>14</v>
      </c>
      <c r="AD102" s="2" t="s">
        <v>15</v>
      </c>
      <c r="AE102" s="2" t="s">
        <v>1692</v>
      </c>
      <c r="AF102" s="2" t="s">
        <v>46</v>
      </c>
      <c r="AG102" s="2" t="s">
        <v>1872</v>
      </c>
    </row>
    <row r="103" spans="1:37" x14ac:dyDescent="0.2">
      <c r="A103" s="22">
        <v>102</v>
      </c>
      <c r="B103" s="3">
        <v>19</v>
      </c>
      <c r="C103" s="3">
        <v>2019</v>
      </c>
      <c r="D103" s="3" t="s">
        <v>534</v>
      </c>
      <c r="E103" s="20">
        <v>43511</v>
      </c>
      <c r="F103" s="20">
        <v>43585</v>
      </c>
      <c r="G103" s="3">
        <v>112</v>
      </c>
      <c r="H103" s="8">
        <v>9</v>
      </c>
      <c r="I103" s="3">
        <v>4</v>
      </c>
      <c r="J103" s="3">
        <v>0</v>
      </c>
      <c r="K103" s="5" t="s">
        <v>910</v>
      </c>
      <c r="L103" s="5" t="s">
        <v>911</v>
      </c>
      <c r="M103" s="5" t="s">
        <v>1105</v>
      </c>
      <c r="N103" s="5" t="s">
        <v>1106</v>
      </c>
      <c r="O103" s="5" t="s">
        <v>1107</v>
      </c>
      <c r="P103" s="5" t="s">
        <v>1108</v>
      </c>
      <c r="Q103" s="3" t="s">
        <v>1162</v>
      </c>
      <c r="R103" s="3" t="s">
        <v>1163</v>
      </c>
      <c r="S103" s="3" t="s">
        <v>1164</v>
      </c>
      <c r="T103" s="1">
        <v>2018</v>
      </c>
      <c r="U103" s="1" t="s">
        <v>468</v>
      </c>
      <c r="V103" s="1" t="s">
        <v>469</v>
      </c>
      <c r="W103" s="1" t="s">
        <v>470</v>
      </c>
      <c r="X103" s="1" t="s">
        <v>471</v>
      </c>
      <c r="Y103" s="1" t="s">
        <v>472</v>
      </c>
      <c r="Z103" s="2" t="s">
        <v>15</v>
      </c>
      <c r="AA103" s="2" t="s">
        <v>1902</v>
      </c>
      <c r="AB103" s="2" t="s">
        <v>1841</v>
      </c>
      <c r="AC103" s="2" t="s">
        <v>14</v>
      </c>
      <c r="AD103" s="2" t="s">
        <v>15</v>
      </c>
      <c r="AE103" s="2" t="s">
        <v>1894</v>
      </c>
      <c r="AF103" s="2" t="s">
        <v>46</v>
      </c>
      <c r="AG103" s="2" t="s">
        <v>58</v>
      </c>
      <c r="AH103" s="53" t="s">
        <v>1702</v>
      </c>
    </row>
    <row r="104" spans="1:37" x14ac:dyDescent="0.2">
      <c r="A104" s="22">
        <v>103</v>
      </c>
      <c r="B104" s="3">
        <v>19</v>
      </c>
      <c r="C104" s="3">
        <v>2019</v>
      </c>
      <c r="D104" s="3" t="s">
        <v>534</v>
      </c>
      <c r="E104" s="20">
        <v>43511</v>
      </c>
      <c r="F104" s="20">
        <v>43585</v>
      </c>
      <c r="G104" s="3">
        <v>112</v>
      </c>
      <c r="H104" s="8">
        <v>9</v>
      </c>
      <c r="I104" s="3">
        <v>4</v>
      </c>
      <c r="J104" s="3">
        <v>0</v>
      </c>
      <c r="K104" s="5" t="s">
        <v>910</v>
      </c>
      <c r="L104" s="5" t="s">
        <v>912</v>
      </c>
      <c r="M104" s="5" t="s">
        <v>1105</v>
      </c>
      <c r="N104" s="5" t="s">
        <v>1109</v>
      </c>
      <c r="O104" s="5" t="s">
        <v>1107</v>
      </c>
      <c r="P104" s="5" t="s">
        <v>1110</v>
      </c>
      <c r="Q104" s="3" t="s">
        <v>1162</v>
      </c>
      <c r="R104" s="3" t="s">
        <v>1163</v>
      </c>
      <c r="S104" s="3" t="s">
        <v>1164</v>
      </c>
      <c r="T104" s="1">
        <v>2019</v>
      </c>
      <c r="U104" s="1" t="s">
        <v>473</v>
      </c>
      <c r="V104" s="1" t="s">
        <v>474</v>
      </c>
      <c r="W104" s="1" t="s">
        <v>475</v>
      </c>
      <c r="X104" s="1" t="s">
        <v>476</v>
      </c>
      <c r="Y104" s="1" t="s">
        <v>477</v>
      </c>
      <c r="Z104" s="2" t="s">
        <v>15</v>
      </c>
      <c r="AA104" s="2" t="s">
        <v>1902</v>
      </c>
      <c r="AB104" s="2" t="s">
        <v>1841</v>
      </c>
      <c r="AC104" s="2" t="s">
        <v>14</v>
      </c>
      <c r="AD104" s="2" t="s">
        <v>15</v>
      </c>
      <c r="AE104" s="2" t="s">
        <v>1894</v>
      </c>
      <c r="AF104" s="2" t="s">
        <v>46</v>
      </c>
      <c r="AG104" s="2" t="s">
        <v>55</v>
      </c>
      <c r="AH104" s="53" t="s">
        <v>1702</v>
      </c>
    </row>
    <row r="105" spans="1:37" x14ac:dyDescent="0.2">
      <c r="A105" s="22">
        <v>104</v>
      </c>
      <c r="B105" s="3">
        <v>19</v>
      </c>
      <c r="C105" s="3">
        <v>2019</v>
      </c>
      <c r="D105" s="3" t="s">
        <v>534</v>
      </c>
      <c r="E105" s="20">
        <v>43511</v>
      </c>
      <c r="F105" s="20">
        <v>43585</v>
      </c>
      <c r="G105" s="3">
        <v>112</v>
      </c>
      <c r="H105" s="8">
        <v>9</v>
      </c>
      <c r="I105" s="3">
        <v>4</v>
      </c>
      <c r="J105" s="3">
        <v>0</v>
      </c>
      <c r="K105" s="5" t="s">
        <v>910</v>
      </c>
      <c r="L105" s="5" t="s">
        <v>913</v>
      </c>
      <c r="M105" s="5" t="s">
        <v>1105</v>
      </c>
      <c r="N105" s="5" t="s">
        <v>1111</v>
      </c>
      <c r="O105" s="5" t="s">
        <v>1107</v>
      </c>
      <c r="P105" s="5" t="s">
        <v>1112</v>
      </c>
      <c r="Q105" s="3" t="s">
        <v>1162</v>
      </c>
      <c r="R105" s="3" t="s">
        <v>1163</v>
      </c>
      <c r="S105" s="3" t="s">
        <v>1164</v>
      </c>
      <c r="T105" s="1">
        <v>2019</v>
      </c>
      <c r="U105" s="1" t="s">
        <v>478</v>
      </c>
      <c r="V105" s="1" t="s">
        <v>479</v>
      </c>
      <c r="W105" s="1" t="s">
        <v>480</v>
      </c>
      <c r="X105" s="1" t="s">
        <v>481</v>
      </c>
      <c r="Y105" s="1" t="s">
        <v>482</v>
      </c>
      <c r="Z105" s="2" t="s">
        <v>15</v>
      </c>
      <c r="AA105" s="2" t="s">
        <v>1902</v>
      </c>
      <c r="AB105" s="2" t="s">
        <v>1841</v>
      </c>
      <c r="AC105" s="2" t="s">
        <v>14</v>
      </c>
      <c r="AD105" s="2" t="s">
        <v>15</v>
      </c>
      <c r="AE105" s="2" t="s">
        <v>37</v>
      </c>
      <c r="AF105" s="2" t="s">
        <v>46</v>
      </c>
      <c r="AG105" s="2" t="s">
        <v>55</v>
      </c>
      <c r="AH105" s="53" t="s">
        <v>1711</v>
      </c>
    </row>
    <row r="106" spans="1:37" x14ac:dyDescent="0.2">
      <c r="A106" s="22">
        <v>105</v>
      </c>
      <c r="B106" s="3">
        <v>19</v>
      </c>
      <c r="C106" s="3">
        <v>2019</v>
      </c>
      <c r="D106" s="3" t="s">
        <v>534</v>
      </c>
      <c r="E106" s="20">
        <v>43511</v>
      </c>
      <c r="F106" s="20">
        <v>43585</v>
      </c>
      <c r="G106" s="3">
        <v>112</v>
      </c>
      <c r="H106" s="8">
        <v>9</v>
      </c>
      <c r="I106" s="3">
        <v>4</v>
      </c>
      <c r="J106" s="3">
        <v>0</v>
      </c>
      <c r="K106" s="5" t="s">
        <v>910</v>
      </c>
      <c r="L106" s="5" t="s">
        <v>914</v>
      </c>
      <c r="M106" s="5" t="s">
        <v>1105</v>
      </c>
      <c r="N106" s="5" t="s">
        <v>1113</v>
      </c>
      <c r="O106" s="5" t="s">
        <v>1107</v>
      </c>
      <c r="P106" s="5" t="s">
        <v>1114</v>
      </c>
      <c r="Q106" s="3" t="s">
        <v>1162</v>
      </c>
      <c r="R106" s="3" t="s">
        <v>1163</v>
      </c>
      <c r="S106" s="3" t="s">
        <v>1164</v>
      </c>
      <c r="T106" s="1">
        <v>2019</v>
      </c>
      <c r="U106" s="1" t="s">
        <v>483</v>
      </c>
      <c r="V106" s="1" t="s">
        <v>484</v>
      </c>
      <c r="W106" s="1" t="s">
        <v>169</v>
      </c>
      <c r="X106" s="1" t="s">
        <v>485</v>
      </c>
      <c r="Y106" s="1" t="s">
        <v>486</v>
      </c>
      <c r="Z106" s="2" t="s">
        <v>15</v>
      </c>
      <c r="AA106" s="2" t="s">
        <v>1902</v>
      </c>
      <c r="AB106" s="2" t="s">
        <v>1841</v>
      </c>
      <c r="AC106" s="2" t="s">
        <v>14</v>
      </c>
      <c r="AD106" s="2" t="s">
        <v>15</v>
      </c>
      <c r="AE106" s="2" t="s">
        <v>1894</v>
      </c>
      <c r="AF106" s="2" t="s">
        <v>46</v>
      </c>
      <c r="AG106" s="2" t="s">
        <v>1699</v>
      </c>
      <c r="AH106" s="53" t="s">
        <v>1702</v>
      </c>
    </row>
    <row r="107" spans="1:37" x14ac:dyDescent="0.2">
      <c r="A107" s="22">
        <v>106</v>
      </c>
      <c r="B107" s="3">
        <v>19</v>
      </c>
      <c r="C107" s="3">
        <v>2019</v>
      </c>
      <c r="D107" s="3" t="s">
        <v>534</v>
      </c>
      <c r="E107" s="20">
        <v>43511</v>
      </c>
      <c r="F107" s="20">
        <v>43585</v>
      </c>
      <c r="G107" s="3">
        <v>112</v>
      </c>
      <c r="H107" s="8">
        <v>9</v>
      </c>
      <c r="I107" s="3">
        <v>4</v>
      </c>
      <c r="J107" s="3">
        <v>0</v>
      </c>
      <c r="K107" s="5" t="s">
        <v>910</v>
      </c>
      <c r="L107" s="5" t="s">
        <v>915</v>
      </c>
      <c r="M107" s="5" t="s">
        <v>1105</v>
      </c>
      <c r="N107" s="5" t="s">
        <v>1115</v>
      </c>
      <c r="O107" s="5" t="s">
        <v>1107</v>
      </c>
      <c r="P107" s="5" t="s">
        <v>1116</v>
      </c>
      <c r="Q107" s="3" t="s">
        <v>1162</v>
      </c>
      <c r="R107" s="3" t="s">
        <v>1163</v>
      </c>
      <c r="S107" s="3" t="s">
        <v>1164</v>
      </c>
      <c r="T107" s="1">
        <v>2019</v>
      </c>
      <c r="U107" s="1" t="s">
        <v>487</v>
      </c>
      <c r="V107" s="1" t="s">
        <v>488</v>
      </c>
      <c r="W107" s="1" t="s">
        <v>489</v>
      </c>
      <c r="X107" s="1" t="s">
        <v>490</v>
      </c>
      <c r="Y107" s="1" t="s">
        <v>491</v>
      </c>
      <c r="Z107" s="2" t="s">
        <v>15</v>
      </c>
      <c r="AA107" s="2" t="s">
        <v>1902</v>
      </c>
      <c r="AB107" s="2" t="s">
        <v>1841</v>
      </c>
      <c r="AC107" s="2" t="s">
        <v>14</v>
      </c>
      <c r="AD107" s="2" t="s">
        <v>15</v>
      </c>
      <c r="AE107" s="2" t="s">
        <v>1894</v>
      </c>
      <c r="AF107" s="2" t="s">
        <v>46</v>
      </c>
      <c r="AG107" s="2" t="s">
        <v>1888</v>
      </c>
      <c r="AH107" s="53" t="s">
        <v>1703</v>
      </c>
    </row>
    <row r="108" spans="1:37" x14ac:dyDescent="0.2">
      <c r="A108" s="22">
        <v>107</v>
      </c>
      <c r="B108" s="3">
        <v>20</v>
      </c>
      <c r="C108" s="3">
        <v>2020</v>
      </c>
      <c r="D108" s="3" t="s">
        <v>535</v>
      </c>
      <c r="E108" s="20">
        <v>43585</v>
      </c>
      <c r="F108" s="20">
        <v>43678</v>
      </c>
      <c r="G108" s="3">
        <v>103</v>
      </c>
      <c r="H108" s="8">
        <v>9</v>
      </c>
      <c r="I108" s="3">
        <v>6</v>
      </c>
      <c r="J108" s="3">
        <v>0</v>
      </c>
      <c r="K108" s="5" t="s">
        <v>916</v>
      </c>
      <c r="L108" s="5" t="s">
        <v>917</v>
      </c>
      <c r="M108" s="5" t="s">
        <v>1117</v>
      </c>
      <c r="N108" s="5" t="s">
        <v>1118</v>
      </c>
      <c r="O108" s="5" t="s">
        <v>1119</v>
      </c>
      <c r="P108" s="5" t="s">
        <v>1120</v>
      </c>
      <c r="Q108" s="3" t="s">
        <v>1165</v>
      </c>
      <c r="R108" s="3" t="s">
        <v>1166</v>
      </c>
      <c r="S108" s="3" t="s">
        <v>1167</v>
      </c>
      <c r="T108" s="1">
        <v>2019</v>
      </c>
      <c r="U108" s="1" t="s">
        <v>492</v>
      </c>
      <c r="V108" s="1" t="s">
        <v>493</v>
      </c>
      <c r="W108" s="1" t="s">
        <v>494</v>
      </c>
      <c r="X108" s="1" t="s">
        <v>495</v>
      </c>
      <c r="Y108" s="1" t="s">
        <v>496</v>
      </c>
      <c r="Z108" s="2" t="s">
        <v>1899</v>
      </c>
      <c r="AA108" s="2" t="s">
        <v>1902</v>
      </c>
      <c r="AB108" s="2" t="s">
        <v>1842</v>
      </c>
      <c r="AC108" s="2" t="s">
        <v>1566</v>
      </c>
      <c r="AD108" s="2" t="s">
        <v>16</v>
      </c>
      <c r="AE108" s="2" t="s">
        <v>44</v>
      </c>
      <c r="AF108" s="2" t="s">
        <v>45</v>
      </c>
      <c r="AG108" s="2" t="s">
        <v>1878</v>
      </c>
    </row>
    <row r="109" spans="1:37" x14ac:dyDescent="0.2">
      <c r="A109" s="22">
        <v>108</v>
      </c>
      <c r="B109" s="3">
        <v>20</v>
      </c>
      <c r="C109" s="3">
        <v>2020</v>
      </c>
      <c r="D109" s="3" t="s">
        <v>535</v>
      </c>
      <c r="E109" s="20">
        <v>43585</v>
      </c>
      <c r="F109" s="20">
        <v>43678</v>
      </c>
      <c r="G109" s="3">
        <v>103</v>
      </c>
      <c r="H109" s="8">
        <v>9</v>
      </c>
      <c r="I109" s="3">
        <v>6</v>
      </c>
      <c r="J109" s="3">
        <v>0</v>
      </c>
      <c r="K109" s="5" t="s">
        <v>918</v>
      </c>
      <c r="L109" s="5" t="s">
        <v>919</v>
      </c>
      <c r="M109" s="5" t="s">
        <v>1121</v>
      </c>
      <c r="N109" s="5" t="s">
        <v>1122</v>
      </c>
      <c r="O109" s="5" t="s">
        <v>1123</v>
      </c>
      <c r="P109" s="5" t="s">
        <v>1124</v>
      </c>
      <c r="Q109" s="3" t="s">
        <v>1165</v>
      </c>
      <c r="R109" s="3" t="s">
        <v>1166</v>
      </c>
      <c r="S109" s="3" t="s">
        <v>1167</v>
      </c>
      <c r="T109" s="1">
        <v>2019</v>
      </c>
      <c r="U109" s="1" t="s">
        <v>497</v>
      </c>
      <c r="V109" s="1" t="s">
        <v>498</v>
      </c>
      <c r="W109" s="1" t="s">
        <v>70</v>
      </c>
      <c r="X109" s="1" t="s">
        <v>499</v>
      </c>
      <c r="Y109" s="1" t="s">
        <v>500</v>
      </c>
      <c r="Z109" s="2" t="s">
        <v>1899</v>
      </c>
      <c r="AA109" s="2" t="s">
        <v>1902</v>
      </c>
      <c r="AB109" s="2" t="s">
        <v>1842</v>
      </c>
      <c r="AC109" s="2" t="s">
        <v>1566</v>
      </c>
      <c r="AD109" s="2" t="s">
        <v>16</v>
      </c>
      <c r="AE109" s="2" t="s">
        <v>44</v>
      </c>
      <c r="AF109" s="2" t="s">
        <v>45</v>
      </c>
      <c r="AG109" s="2" t="s">
        <v>48</v>
      </c>
    </row>
    <row r="110" spans="1:37" x14ac:dyDescent="0.2">
      <c r="A110" s="22">
        <v>109</v>
      </c>
      <c r="B110" s="3">
        <v>20</v>
      </c>
      <c r="C110" s="3">
        <v>2020</v>
      </c>
      <c r="D110" s="3" t="s">
        <v>535</v>
      </c>
      <c r="E110" s="20">
        <v>43585</v>
      </c>
      <c r="F110" s="20">
        <v>43678</v>
      </c>
      <c r="G110" s="3">
        <v>103</v>
      </c>
      <c r="H110" s="8">
        <v>9</v>
      </c>
      <c r="I110" s="3">
        <v>6</v>
      </c>
      <c r="J110" s="3">
        <v>0</v>
      </c>
      <c r="K110" s="5" t="s">
        <v>920</v>
      </c>
      <c r="L110" s="5" t="s">
        <v>921</v>
      </c>
      <c r="M110" s="5" t="s">
        <v>1125</v>
      </c>
      <c r="N110" s="5" t="s">
        <v>1126</v>
      </c>
      <c r="O110" s="5" t="s">
        <v>1127</v>
      </c>
      <c r="P110" s="5" t="s">
        <v>1128</v>
      </c>
      <c r="Q110" s="3" t="s">
        <v>1165</v>
      </c>
      <c r="R110" s="3" t="s">
        <v>1166</v>
      </c>
      <c r="S110" s="3" t="s">
        <v>1167</v>
      </c>
      <c r="T110" s="1">
        <v>2019</v>
      </c>
      <c r="U110" s="1" t="s">
        <v>501</v>
      </c>
      <c r="V110" s="1" t="s">
        <v>502</v>
      </c>
      <c r="W110" s="1" t="s">
        <v>503</v>
      </c>
      <c r="X110" s="1" t="s">
        <v>504</v>
      </c>
      <c r="Y110" s="1" t="s">
        <v>505</v>
      </c>
      <c r="Z110" s="2" t="s">
        <v>1899</v>
      </c>
      <c r="AA110" s="2" t="s">
        <v>1901</v>
      </c>
      <c r="AB110" s="2" t="s">
        <v>1840</v>
      </c>
      <c r="AC110" s="2" t="s">
        <v>1566</v>
      </c>
      <c r="AD110" s="2" t="s">
        <v>16</v>
      </c>
      <c r="AE110" s="2" t="s">
        <v>44</v>
      </c>
      <c r="AF110" s="2" t="s">
        <v>45</v>
      </c>
      <c r="AG110" s="2" t="s">
        <v>1562</v>
      </c>
      <c r="AI110" s="48"/>
      <c r="AJ110" s="48"/>
      <c r="AK110" s="48"/>
    </row>
    <row r="111" spans="1:37" x14ac:dyDescent="0.2">
      <c r="A111" s="22">
        <v>110</v>
      </c>
      <c r="B111" s="3">
        <v>20</v>
      </c>
      <c r="C111" s="3">
        <v>2020</v>
      </c>
      <c r="D111" s="3" t="s">
        <v>535</v>
      </c>
      <c r="E111" s="20">
        <v>43585</v>
      </c>
      <c r="F111" s="20">
        <v>43678</v>
      </c>
      <c r="G111" s="3">
        <v>103</v>
      </c>
      <c r="H111" s="8">
        <v>9</v>
      </c>
      <c r="I111" s="3">
        <v>6</v>
      </c>
      <c r="J111" s="3">
        <v>0</v>
      </c>
      <c r="K111" s="5" t="s">
        <v>922</v>
      </c>
      <c r="L111" s="5" t="s">
        <v>923</v>
      </c>
      <c r="M111" s="5" t="s">
        <v>1129</v>
      </c>
      <c r="N111" s="5" t="s">
        <v>1130</v>
      </c>
      <c r="O111" s="5" t="s">
        <v>1131</v>
      </c>
      <c r="P111" s="5" t="s">
        <v>1132</v>
      </c>
      <c r="Q111" s="3" t="s">
        <v>1165</v>
      </c>
      <c r="R111" s="3" t="s">
        <v>1166</v>
      </c>
      <c r="S111" s="3" t="s">
        <v>1167</v>
      </c>
      <c r="T111" s="1">
        <v>2019</v>
      </c>
      <c r="U111" s="1" t="s">
        <v>506</v>
      </c>
      <c r="V111" s="1" t="s">
        <v>507</v>
      </c>
      <c r="W111" s="1" t="s">
        <v>77</v>
      </c>
      <c r="X111" s="1" t="s">
        <v>508</v>
      </c>
      <c r="Y111" s="1" t="s">
        <v>78</v>
      </c>
      <c r="Z111" s="2" t="s">
        <v>15</v>
      </c>
      <c r="AA111" s="2" t="s">
        <v>1902</v>
      </c>
      <c r="AB111" s="2" t="s">
        <v>1841</v>
      </c>
      <c r="AC111" s="2" t="s">
        <v>14</v>
      </c>
      <c r="AD111" s="2" t="s">
        <v>15</v>
      </c>
      <c r="AE111" s="2" t="s">
        <v>37</v>
      </c>
      <c r="AF111" s="2" t="s">
        <v>46</v>
      </c>
      <c r="AG111" s="2" t="s">
        <v>1958</v>
      </c>
    </row>
    <row r="112" spans="1:37" s="81" customFormat="1" ht="12" customHeight="1" x14ac:dyDescent="0.2">
      <c r="A112" s="22">
        <v>111</v>
      </c>
      <c r="B112" s="73">
        <v>20</v>
      </c>
      <c r="C112" s="73">
        <v>2020</v>
      </c>
      <c r="D112" s="73" t="s">
        <v>535</v>
      </c>
      <c r="E112" s="74">
        <v>43585</v>
      </c>
      <c r="F112" s="74">
        <v>43678</v>
      </c>
      <c r="G112" s="73">
        <v>103</v>
      </c>
      <c r="H112" s="75">
        <v>9</v>
      </c>
      <c r="I112" s="73">
        <v>6</v>
      </c>
      <c r="J112" s="73">
        <v>0</v>
      </c>
      <c r="K112" s="76" t="s">
        <v>1704</v>
      </c>
      <c r="L112" s="76" t="s">
        <v>1705</v>
      </c>
      <c r="M112" s="76" t="s">
        <v>2015</v>
      </c>
      <c r="N112" s="77" t="s">
        <v>2016</v>
      </c>
      <c r="O112" s="76" t="s">
        <v>2014</v>
      </c>
      <c r="P112" s="77" t="s">
        <v>2013</v>
      </c>
      <c r="Q112" s="73" t="s">
        <v>1165</v>
      </c>
      <c r="R112" s="73" t="s">
        <v>1166</v>
      </c>
      <c r="S112" s="73" t="s">
        <v>1167</v>
      </c>
      <c r="T112" s="78">
        <v>2019</v>
      </c>
      <c r="U112" s="78" t="s">
        <v>1709</v>
      </c>
      <c r="V112" s="78" t="s">
        <v>1706</v>
      </c>
      <c r="W112" s="78" t="s">
        <v>1707</v>
      </c>
      <c r="X112" s="78" t="s">
        <v>1708</v>
      </c>
      <c r="Y112" s="78" t="s">
        <v>1710</v>
      </c>
      <c r="Z112" s="79" t="s">
        <v>1899</v>
      </c>
      <c r="AA112" s="79" t="s">
        <v>1902</v>
      </c>
      <c r="AB112" s="79" t="s">
        <v>1841</v>
      </c>
      <c r="AC112" s="79" t="s">
        <v>14</v>
      </c>
      <c r="AD112" s="79" t="s">
        <v>16</v>
      </c>
      <c r="AE112" s="79" t="s">
        <v>44</v>
      </c>
      <c r="AF112" s="79" t="s">
        <v>45</v>
      </c>
      <c r="AG112" s="79" t="s">
        <v>1562</v>
      </c>
      <c r="AH112" s="80" t="s">
        <v>1828</v>
      </c>
    </row>
    <row r="113" spans="1:34" x14ac:dyDescent="0.2">
      <c r="A113" s="22">
        <v>112</v>
      </c>
      <c r="B113" s="3">
        <v>20</v>
      </c>
      <c r="C113" s="3">
        <v>2020</v>
      </c>
      <c r="D113" s="3" t="s">
        <v>535</v>
      </c>
      <c r="E113" s="20">
        <v>43585</v>
      </c>
      <c r="F113" s="20">
        <v>43678</v>
      </c>
      <c r="G113" s="3">
        <v>103</v>
      </c>
      <c r="H113" s="8">
        <v>9</v>
      </c>
      <c r="I113" s="3">
        <v>6</v>
      </c>
      <c r="J113" s="3">
        <v>0</v>
      </c>
      <c r="K113" s="5" t="s">
        <v>924</v>
      </c>
      <c r="L113" s="5" t="s">
        <v>925</v>
      </c>
      <c r="M113" s="5" t="s">
        <v>1133</v>
      </c>
      <c r="N113" s="5" t="s">
        <v>1134</v>
      </c>
      <c r="O113" s="5" t="s">
        <v>1135</v>
      </c>
      <c r="P113" s="5" t="s">
        <v>1136</v>
      </c>
      <c r="Q113" s="3" t="s">
        <v>1165</v>
      </c>
      <c r="R113" s="3" t="s">
        <v>1166</v>
      </c>
      <c r="S113" s="3" t="s">
        <v>1167</v>
      </c>
      <c r="T113" s="1">
        <v>2019</v>
      </c>
      <c r="U113" s="1" t="s">
        <v>509</v>
      </c>
      <c r="V113" s="1" t="s">
        <v>510</v>
      </c>
      <c r="W113" s="1" t="s">
        <v>77</v>
      </c>
      <c r="X113" s="1" t="s">
        <v>511</v>
      </c>
      <c r="Y113" s="1" t="s">
        <v>512</v>
      </c>
      <c r="Z113" s="2" t="s">
        <v>15</v>
      </c>
      <c r="AA113" s="2" t="s">
        <v>1901</v>
      </c>
      <c r="AB113" s="2" t="s">
        <v>1840</v>
      </c>
      <c r="AC113" s="2" t="s">
        <v>26</v>
      </c>
      <c r="AD113" s="2" t="s">
        <v>15</v>
      </c>
      <c r="AE113" s="2" t="s">
        <v>1860</v>
      </c>
      <c r="AF113" s="2" t="s">
        <v>46</v>
      </c>
      <c r="AG113" s="2" t="s">
        <v>1903</v>
      </c>
    </row>
    <row r="114" spans="1:34" x14ac:dyDescent="0.2">
      <c r="A114" s="22">
        <v>113</v>
      </c>
      <c r="B114" s="3">
        <v>20</v>
      </c>
      <c r="C114" s="3">
        <v>2020</v>
      </c>
      <c r="D114" s="3" t="s">
        <v>535</v>
      </c>
      <c r="E114" s="20">
        <v>43585</v>
      </c>
      <c r="F114" s="20">
        <v>43678</v>
      </c>
      <c r="G114" s="3">
        <v>103</v>
      </c>
      <c r="H114" s="8">
        <v>9</v>
      </c>
      <c r="I114" s="3">
        <v>6</v>
      </c>
      <c r="J114" s="3">
        <v>0</v>
      </c>
      <c r="K114" s="5" t="s">
        <v>926</v>
      </c>
      <c r="L114" s="5" t="s">
        <v>927</v>
      </c>
      <c r="M114" s="5" t="s">
        <v>1137</v>
      </c>
      <c r="N114" s="5" t="s">
        <v>1138</v>
      </c>
      <c r="O114" s="5" t="s">
        <v>1139</v>
      </c>
      <c r="P114" s="5" t="s">
        <v>1140</v>
      </c>
      <c r="Q114" s="3" t="s">
        <v>1165</v>
      </c>
      <c r="R114" s="3" t="s">
        <v>1166</v>
      </c>
      <c r="S114" s="3" t="s">
        <v>1167</v>
      </c>
      <c r="T114" s="1">
        <v>2019</v>
      </c>
      <c r="U114" s="1" t="s">
        <v>513</v>
      </c>
      <c r="V114" s="1" t="s">
        <v>514</v>
      </c>
      <c r="W114" s="1" t="s">
        <v>68</v>
      </c>
      <c r="X114" s="1" t="s">
        <v>515</v>
      </c>
      <c r="Y114" s="1" t="s">
        <v>516</v>
      </c>
      <c r="Z114" s="2" t="s">
        <v>530</v>
      </c>
      <c r="AA114" s="2" t="s">
        <v>1902</v>
      </c>
      <c r="AB114" s="2" t="s">
        <v>1841</v>
      </c>
      <c r="AC114" s="2" t="s">
        <v>1923</v>
      </c>
      <c r="AD114" s="2" t="s">
        <v>1851</v>
      </c>
      <c r="AE114" s="2" t="s">
        <v>35</v>
      </c>
      <c r="AF114" s="2" t="s">
        <v>47</v>
      </c>
      <c r="AG114" s="2" t="s">
        <v>1851</v>
      </c>
    </row>
    <row r="115" spans="1:34" x14ac:dyDescent="0.2">
      <c r="A115" s="22">
        <v>114</v>
      </c>
      <c r="B115" s="3">
        <v>21</v>
      </c>
      <c r="C115" s="3">
        <v>2020</v>
      </c>
      <c r="D115" s="3" t="s">
        <v>532</v>
      </c>
      <c r="E115" s="20">
        <v>43678</v>
      </c>
      <c r="F115" s="20">
        <v>43769</v>
      </c>
      <c r="G115" s="3">
        <v>84</v>
      </c>
      <c r="H115" s="8">
        <v>8</v>
      </c>
      <c r="I115" s="3">
        <v>3</v>
      </c>
      <c r="J115" s="3">
        <v>0</v>
      </c>
      <c r="K115" s="5" t="s">
        <v>928</v>
      </c>
      <c r="L115" s="5" t="s">
        <v>929</v>
      </c>
      <c r="M115" s="5" t="s">
        <v>1141</v>
      </c>
      <c r="N115" s="5" t="s">
        <v>1142</v>
      </c>
      <c r="O115" s="5" t="s">
        <v>1143</v>
      </c>
      <c r="P115" s="5" t="s">
        <v>1144</v>
      </c>
      <c r="Q115" s="3" t="s">
        <v>1165</v>
      </c>
      <c r="R115" s="3" t="s">
        <v>1166</v>
      </c>
      <c r="S115" s="3" t="s">
        <v>1168</v>
      </c>
      <c r="T115" s="1">
        <v>2019</v>
      </c>
      <c r="U115" s="1" t="s">
        <v>517</v>
      </c>
      <c r="V115" s="1" t="s">
        <v>518</v>
      </c>
      <c r="W115" s="1" t="s">
        <v>519</v>
      </c>
      <c r="X115" s="1" t="s">
        <v>520</v>
      </c>
      <c r="Y115" s="1" t="s">
        <v>521</v>
      </c>
      <c r="Z115" s="2" t="s">
        <v>1899</v>
      </c>
      <c r="AA115" s="2" t="s">
        <v>1902</v>
      </c>
      <c r="AB115" s="2" t="s">
        <v>1841</v>
      </c>
      <c r="AC115" s="2" t="s">
        <v>14</v>
      </c>
      <c r="AD115" s="2" t="s">
        <v>60</v>
      </c>
      <c r="AE115" s="2" t="s">
        <v>1863</v>
      </c>
      <c r="AF115" s="2" t="s">
        <v>46</v>
      </c>
      <c r="AG115" s="2" t="s">
        <v>1878</v>
      </c>
    </row>
    <row r="116" spans="1:34" x14ac:dyDescent="0.2">
      <c r="A116" s="22">
        <v>115</v>
      </c>
      <c r="B116" s="3">
        <v>21</v>
      </c>
      <c r="C116" s="3">
        <v>2020</v>
      </c>
      <c r="D116" s="3" t="s">
        <v>532</v>
      </c>
      <c r="E116" s="20">
        <v>43678</v>
      </c>
      <c r="F116" s="20">
        <v>43769</v>
      </c>
      <c r="G116" s="3">
        <v>84</v>
      </c>
      <c r="H116" s="8">
        <v>8</v>
      </c>
      <c r="I116" s="3">
        <v>3</v>
      </c>
      <c r="J116" s="3">
        <v>0</v>
      </c>
      <c r="K116" s="5" t="s">
        <v>930</v>
      </c>
      <c r="L116" s="5" t="s">
        <v>931</v>
      </c>
      <c r="M116" s="5" t="s">
        <v>1145</v>
      </c>
      <c r="N116" s="5" t="s">
        <v>1146</v>
      </c>
      <c r="O116" s="5" t="s">
        <v>1147</v>
      </c>
      <c r="P116" s="5" t="s">
        <v>1148</v>
      </c>
      <c r="Q116" s="3" t="s">
        <v>1165</v>
      </c>
      <c r="R116" s="3" t="s">
        <v>1166</v>
      </c>
      <c r="S116" s="3" t="s">
        <v>1168</v>
      </c>
      <c r="T116" s="1">
        <v>2019</v>
      </c>
      <c r="U116" s="1" t="s">
        <v>225</v>
      </c>
      <c r="V116" s="1" t="s">
        <v>522</v>
      </c>
      <c r="W116" s="1" t="s">
        <v>523</v>
      </c>
      <c r="X116" s="1" t="s">
        <v>524</v>
      </c>
      <c r="Y116" s="1" t="s">
        <v>525</v>
      </c>
      <c r="Z116" s="2" t="s">
        <v>1899</v>
      </c>
      <c r="AA116" s="2" t="s">
        <v>1902</v>
      </c>
      <c r="AB116" s="2" t="s">
        <v>1841</v>
      </c>
      <c r="AC116" s="2" t="s">
        <v>1566</v>
      </c>
      <c r="AD116" s="2" t="s">
        <v>60</v>
      </c>
      <c r="AE116" s="2" t="s">
        <v>1863</v>
      </c>
      <c r="AF116" s="2" t="s">
        <v>46</v>
      </c>
      <c r="AG116" s="2" t="s">
        <v>1875</v>
      </c>
    </row>
    <row r="117" spans="1:34" x14ac:dyDescent="0.2">
      <c r="A117" s="22">
        <v>116</v>
      </c>
      <c r="B117" s="3">
        <v>21</v>
      </c>
      <c r="C117" s="3">
        <v>2020</v>
      </c>
      <c r="D117" s="3" t="s">
        <v>532</v>
      </c>
      <c r="E117" s="20">
        <v>43678</v>
      </c>
      <c r="F117" s="20">
        <v>43769</v>
      </c>
      <c r="G117" s="3">
        <v>84</v>
      </c>
      <c r="H117" s="8">
        <v>8</v>
      </c>
      <c r="I117" s="3">
        <v>3</v>
      </c>
      <c r="J117" s="3">
        <v>0</v>
      </c>
      <c r="K117" s="5" t="s">
        <v>932</v>
      </c>
      <c r="L117" s="5" t="s">
        <v>933</v>
      </c>
      <c r="M117" s="5" t="s">
        <v>1149</v>
      </c>
      <c r="N117" s="5" t="s">
        <v>1150</v>
      </c>
      <c r="O117" s="5" t="s">
        <v>1151</v>
      </c>
      <c r="P117" s="5" t="s">
        <v>1152</v>
      </c>
      <c r="Q117" s="3" t="s">
        <v>1165</v>
      </c>
      <c r="R117" s="3" t="s">
        <v>1166</v>
      </c>
      <c r="S117" s="3" t="s">
        <v>1168</v>
      </c>
      <c r="T117" s="1">
        <v>2019</v>
      </c>
      <c r="U117" s="1" t="s">
        <v>526</v>
      </c>
      <c r="V117" s="1" t="s">
        <v>527</v>
      </c>
      <c r="W117" s="1" t="s">
        <v>257</v>
      </c>
      <c r="X117" s="1" t="s">
        <v>528</v>
      </c>
      <c r="Y117" s="1" t="s">
        <v>529</v>
      </c>
      <c r="Z117" s="2" t="s">
        <v>530</v>
      </c>
      <c r="AA117" s="2" t="s">
        <v>2069</v>
      </c>
      <c r="AB117" s="2" t="s">
        <v>59</v>
      </c>
      <c r="AC117" s="2" t="s">
        <v>1566</v>
      </c>
      <c r="AD117" s="2" t="s">
        <v>1854</v>
      </c>
      <c r="AE117" s="2" t="s">
        <v>38</v>
      </c>
      <c r="AF117" s="2" t="s">
        <v>45</v>
      </c>
      <c r="AG117" s="2" t="s">
        <v>1562</v>
      </c>
      <c r="AH117" s="53" t="s">
        <v>1712</v>
      </c>
    </row>
    <row r="118" spans="1:34" x14ac:dyDescent="0.2">
      <c r="A118" s="22">
        <v>117</v>
      </c>
      <c r="B118" s="3">
        <v>22</v>
      </c>
      <c r="C118" s="3">
        <v>2020</v>
      </c>
      <c r="D118" s="3" t="s">
        <v>533</v>
      </c>
      <c r="E118" s="20">
        <v>43769</v>
      </c>
      <c r="F118" s="20">
        <v>43845</v>
      </c>
      <c r="G118" s="3">
        <v>71</v>
      </c>
      <c r="H118" s="8">
        <v>10</v>
      </c>
      <c r="I118" s="3">
        <v>5</v>
      </c>
      <c r="J118" s="3">
        <v>0</v>
      </c>
      <c r="K118" s="5" t="s">
        <v>934</v>
      </c>
      <c r="L118" s="5" t="s">
        <v>1191</v>
      </c>
      <c r="M118" s="5" t="s">
        <v>1192</v>
      </c>
      <c r="N118" s="5" t="s">
        <v>1193</v>
      </c>
      <c r="O118" s="5" t="s">
        <v>1194</v>
      </c>
      <c r="P118" s="5" t="s">
        <v>1195</v>
      </c>
      <c r="Q118" s="3" t="s">
        <v>1169</v>
      </c>
      <c r="R118" s="3" t="s">
        <v>1170</v>
      </c>
      <c r="S118" s="3" t="s">
        <v>1168</v>
      </c>
      <c r="T118" s="1">
        <v>2019</v>
      </c>
      <c r="U118" s="1" t="s">
        <v>1357</v>
      </c>
      <c r="V118" s="1" t="s">
        <v>1358</v>
      </c>
      <c r="W118" s="1" t="s">
        <v>76</v>
      </c>
      <c r="X118" s="1" t="s">
        <v>1359</v>
      </c>
      <c r="Y118" s="1" t="s">
        <v>1360</v>
      </c>
      <c r="Z118" s="2" t="s">
        <v>1899</v>
      </c>
      <c r="AA118" s="2" t="s">
        <v>1902</v>
      </c>
      <c r="AB118" s="2" t="s">
        <v>1841</v>
      </c>
      <c r="AC118" s="2" t="s">
        <v>1566</v>
      </c>
      <c r="AD118" s="2" t="s">
        <v>60</v>
      </c>
      <c r="AE118" s="2" t="s">
        <v>1863</v>
      </c>
      <c r="AF118" s="2" t="s">
        <v>46</v>
      </c>
      <c r="AG118" s="2" t="s">
        <v>1955</v>
      </c>
    </row>
    <row r="119" spans="1:34" x14ac:dyDescent="0.2">
      <c r="A119" s="22">
        <v>118</v>
      </c>
      <c r="B119" s="3">
        <v>22</v>
      </c>
      <c r="C119" s="3">
        <v>2020</v>
      </c>
      <c r="D119" s="3" t="s">
        <v>533</v>
      </c>
      <c r="E119" s="20">
        <v>43769</v>
      </c>
      <c r="F119" s="20">
        <v>43845</v>
      </c>
      <c r="G119" s="3">
        <v>71</v>
      </c>
      <c r="H119" s="8">
        <v>10</v>
      </c>
      <c r="I119" s="3">
        <v>5</v>
      </c>
      <c r="J119" s="3">
        <v>0</v>
      </c>
      <c r="K119" s="5" t="s">
        <v>935</v>
      </c>
      <c r="L119" s="5" t="s">
        <v>1196</v>
      </c>
      <c r="M119" s="5" t="s">
        <v>1197</v>
      </c>
      <c r="N119" s="5" t="s">
        <v>1198</v>
      </c>
      <c r="O119" s="5" t="s">
        <v>1199</v>
      </c>
      <c r="P119" s="5" t="s">
        <v>1200</v>
      </c>
      <c r="Q119" s="3" t="s">
        <v>1169</v>
      </c>
      <c r="R119" s="3" t="s">
        <v>1170</v>
      </c>
      <c r="S119" s="3" t="s">
        <v>1168</v>
      </c>
      <c r="T119" s="1">
        <v>2020</v>
      </c>
      <c r="U119" s="1" t="s">
        <v>1361</v>
      </c>
      <c r="V119" s="1" t="s">
        <v>1362</v>
      </c>
      <c r="W119" s="1" t="s">
        <v>68</v>
      </c>
      <c r="X119" s="1" t="s">
        <v>1363</v>
      </c>
      <c r="Y119" s="1" t="s">
        <v>1364</v>
      </c>
      <c r="Z119" s="2" t="s">
        <v>991</v>
      </c>
      <c r="AA119" s="2" t="s">
        <v>1902</v>
      </c>
      <c r="AB119" s="2" t="s">
        <v>1841</v>
      </c>
      <c r="AC119" s="2" t="s">
        <v>14</v>
      </c>
      <c r="AD119" s="2" t="s">
        <v>61</v>
      </c>
      <c r="AE119" s="2" t="s">
        <v>37</v>
      </c>
      <c r="AF119" s="2" t="s">
        <v>45</v>
      </c>
      <c r="AG119" s="2" t="s">
        <v>1939</v>
      </c>
    </row>
    <row r="120" spans="1:34" x14ac:dyDescent="0.2">
      <c r="A120" s="22">
        <v>119</v>
      </c>
      <c r="B120" s="3">
        <v>22</v>
      </c>
      <c r="C120" s="3">
        <v>2020</v>
      </c>
      <c r="D120" s="3" t="s">
        <v>533</v>
      </c>
      <c r="E120" s="20">
        <v>43769</v>
      </c>
      <c r="F120" s="20">
        <v>43845</v>
      </c>
      <c r="G120" s="3">
        <v>71</v>
      </c>
      <c r="H120" s="8">
        <v>10</v>
      </c>
      <c r="I120" s="3">
        <v>5</v>
      </c>
      <c r="J120" s="3">
        <v>0</v>
      </c>
      <c r="K120" s="5" t="s">
        <v>1201</v>
      </c>
      <c r="L120" s="5" t="s">
        <v>1202</v>
      </c>
      <c r="M120" s="5" t="s">
        <v>1203</v>
      </c>
      <c r="N120" s="5" t="s">
        <v>1204</v>
      </c>
      <c r="O120" s="5" t="s">
        <v>1205</v>
      </c>
      <c r="P120" s="5" t="s">
        <v>1206</v>
      </c>
      <c r="Q120" s="3" t="s">
        <v>1169</v>
      </c>
      <c r="R120" s="3" t="s">
        <v>1170</v>
      </c>
      <c r="S120" s="3" t="s">
        <v>1168</v>
      </c>
      <c r="T120" s="1">
        <v>2020</v>
      </c>
      <c r="U120" s="1" t="s">
        <v>1365</v>
      </c>
      <c r="V120" s="1" t="s">
        <v>1366</v>
      </c>
      <c r="W120" s="1" t="s">
        <v>68</v>
      </c>
      <c r="X120" s="1" t="s">
        <v>1367</v>
      </c>
      <c r="Y120" s="1" t="s">
        <v>1368</v>
      </c>
      <c r="Z120" s="2" t="s">
        <v>15</v>
      </c>
      <c r="AA120" s="2" t="s">
        <v>1902</v>
      </c>
      <c r="AB120" s="2" t="s">
        <v>1841</v>
      </c>
      <c r="AC120" s="2" t="s">
        <v>14</v>
      </c>
      <c r="AD120" s="2" t="s">
        <v>15</v>
      </c>
      <c r="AE120" s="2" t="s">
        <v>1860</v>
      </c>
      <c r="AF120" s="2" t="s">
        <v>46</v>
      </c>
      <c r="AG120" s="2" t="s">
        <v>1882</v>
      </c>
    </row>
    <row r="121" spans="1:34" x14ac:dyDescent="0.2">
      <c r="A121" s="22">
        <v>120</v>
      </c>
      <c r="B121" s="3">
        <v>22</v>
      </c>
      <c r="C121" s="3">
        <v>2020</v>
      </c>
      <c r="D121" s="3" t="s">
        <v>533</v>
      </c>
      <c r="E121" s="20">
        <v>43769</v>
      </c>
      <c r="F121" s="20">
        <v>43845</v>
      </c>
      <c r="G121" s="3">
        <v>71</v>
      </c>
      <c r="H121" s="8">
        <v>10</v>
      </c>
      <c r="I121" s="3">
        <v>5</v>
      </c>
      <c r="J121" s="3">
        <v>0</v>
      </c>
      <c r="K121" s="5" t="s">
        <v>1207</v>
      </c>
      <c r="L121" s="5" t="s">
        <v>1208</v>
      </c>
      <c r="M121" s="5" t="s">
        <v>1209</v>
      </c>
      <c r="N121" s="5" t="s">
        <v>1210</v>
      </c>
      <c r="O121" s="5" t="s">
        <v>1211</v>
      </c>
      <c r="P121" s="5" t="s">
        <v>1212</v>
      </c>
      <c r="Q121" s="3" t="s">
        <v>1169</v>
      </c>
      <c r="R121" s="3" t="s">
        <v>1170</v>
      </c>
      <c r="S121" s="3" t="s">
        <v>1168</v>
      </c>
      <c r="T121" s="1">
        <v>2019</v>
      </c>
      <c r="U121" s="1" t="s">
        <v>1369</v>
      </c>
      <c r="V121" s="1" t="s">
        <v>1370</v>
      </c>
      <c r="W121" s="1" t="s">
        <v>1371</v>
      </c>
      <c r="X121" s="1" t="s">
        <v>1372</v>
      </c>
      <c r="Y121" s="1" t="s">
        <v>1373</v>
      </c>
      <c r="Z121" s="2" t="s">
        <v>71</v>
      </c>
      <c r="AA121" s="2" t="s">
        <v>1902</v>
      </c>
      <c r="AB121" s="2" t="s">
        <v>1841</v>
      </c>
      <c r="AC121" s="2" t="s">
        <v>14</v>
      </c>
      <c r="AD121" s="2" t="s">
        <v>1851</v>
      </c>
      <c r="AE121" s="2" t="s">
        <v>35</v>
      </c>
      <c r="AF121" s="2" t="s">
        <v>47</v>
      </c>
      <c r="AG121" s="2" t="s">
        <v>1851</v>
      </c>
    </row>
    <row r="122" spans="1:34" x14ac:dyDescent="0.2">
      <c r="A122" s="22">
        <v>121</v>
      </c>
      <c r="B122" s="3">
        <v>22</v>
      </c>
      <c r="C122" s="3">
        <v>2020</v>
      </c>
      <c r="D122" s="3" t="s">
        <v>533</v>
      </c>
      <c r="E122" s="20">
        <v>43769</v>
      </c>
      <c r="F122" s="20">
        <v>43845</v>
      </c>
      <c r="G122" s="3">
        <v>71</v>
      </c>
      <c r="H122" s="8">
        <v>10</v>
      </c>
      <c r="I122" s="3">
        <v>5</v>
      </c>
      <c r="J122" s="3">
        <v>0</v>
      </c>
      <c r="K122" s="5" t="s">
        <v>1213</v>
      </c>
      <c r="L122" s="5" t="s">
        <v>1214</v>
      </c>
      <c r="M122" s="5" t="s">
        <v>1215</v>
      </c>
      <c r="N122" s="5" t="s">
        <v>1216</v>
      </c>
      <c r="O122" s="5" t="s">
        <v>1217</v>
      </c>
      <c r="P122" s="5" t="s">
        <v>1218</v>
      </c>
      <c r="Q122" s="3" t="s">
        <v>1169</v>
      </c>
      <c r="R122" s="3" t="s">
        <v>1170</v>
      </c>
      <c r="S122" s="3" t="s">
        <v>1168</v>
      </c>
      <c r="T122" s="1">
        <v>2020</v>
      </c>
      <c r="U122" s="1" t="s">
        <v>1374</v>
      </c>
      <c r="V122" s="1" t="s">
        <v>1375</v>
      </c>
      <c r="W122" s="1" t="s">
        <v>135</v>
      </c>
      <c r="X122" s="1" t="s">
        <v>1376</v>
      </c>
      <c r="Y122" s="1" t="s">
        <v>1377</v>
      </c>
      <c r="Z122" s="2" t="s">
        <v>71</v>
      </c>
      <c r="AA122" s="2" t="s">
        <v>1902</v>
      </c>
      <c r="AB122" s="2" t="s">
        <v>1842</v>
      </c>
      <c r="AC122" s="2" t="s">
        <v>14</v>
      </c>
      <c r="AD122" s="2" t="s">
        <v>1851</v>
      </c>
      <c r="AE122" s="2" t="s">
        <v>35</v>
      </c>
      <c r="AF122" s="2" t="s">
        <v>47</v>
      </c>
      <c r="AG122" s="2" t="s">
        <v>1851</v>
      </c>
    </row>
    <row r="123" spans="1:34" x14ac:dyDescent="0.2">
      <c r="A123" s="22">
        <v>122</v>
      </c>
      <c r="B123" s="3">
        <v>23</v>
      </c>
      <c r="C123" s="3">
        <v>2020</v>
      </c>
      <c r="D123" s="3" t="s">
        <v>534</v>
      </c>
      <c r="E123" s="20">
        <v>43845</v>
      </c>
      <c r="F123" s="20">
        <v>43951</v>
      </c>
      <c r="G123" s="3">
        <v>91</v>
      </c>
      <c r="H123" s="3">
        <v>12</v>
      </c>
      <c r="I123" s="3">
        <v>6</v>
      </c>
      <c r="J123" s="3">
        <v>0</v>
      </c>
      <c r="K123" s="5" t="s">
        <v>1219</v>
      </c>
      <c r="L123" s="5" t="s">
        <v>1220</v>
      </c>
      <c r="M123" s="5" t="s">
        <v>1221</v>
      </c>
      <c r="N123" s="5" t="s">
        <v>1222</v>
      </c>
      <c r="O123" s="5" t="s">
        <v>1223</v>
      </c>
      <c r="P123" s="5" t="s">
        <v>1224</v>
      </c>
      <c r="Q123" s="3" t="s">
        <v>1172</v>
      </c>
      <c r="R123" s="3" t="s">
        <v>1173</v>
      </c>
      <c r="S123" s="3" t="s">
        <v>1174</v>
      </c>
      <c r="T123" s="1">
        <v>2020</v>
      </c>
      <c r="U123" s="1" t="s">
        <v>1378</v>
      </c>
      <c r="V123" s="1" t="s">
        <v>1379</v>
      </c>
      <c r="W123" s="1" t="s">
        <v>1380</v>
      </c>
      <c r="X123" s="1" t="s">
        <v>1381</v>
      </c>
      <c r="Y123" s="1" t="s">
        <v>1382</v>
      </c>
      <c r="Z123" s="2" t="s">
        <v>1899</v>
      </c>
      <c r="AA123" s="2" t="s">
        <v>1902</v>
      </c>
      <c r="AB123" s="2" t="s">
        <v>1841</v>
      </c>
      <c r="AC123" s="2" t="s">
        <v>1924</v>
      </c>
      <c r="AD123" s="2" t="s">
        <v>16</v>
      </c>
      <c r="AE123" s="2" t="s">
        <v>44</v>
      </c>
      <c r="AF123" s="2" t="s">
        <v>45</v>
      </c>
      <c r="AG123" s="2" t="s">
        <v>1878</v>
      </c>
    </row>
    <row r="124" spans="1:34" x14ac:dyDescent="0.2">
      <c r="A124" s="22">
        <v>123</v>
      </c>
      <c r="B124" s="3">
        <v>23</v>
      </c>
      <c r="C124" s="3">
        <v>2020</v>
      </c>
      <c r="D124" s="3" t="s">
        <v>534</v>
      </c>
      <c r="E124" s="20">
        <v>43845</v>
      </c>
      <c r="F124" s="20">
        <v>43951</v>
      </c>
      <c r="G124" s="3">
        <v>91</v>
      </c>
      <c r="H124" s="3">
        <v>12</v>
      </c>
      <c r="I124" s="3">
        <v>6</v>
      </c>
      <c r="J124" s="3">
        <v>0</v>
      </c>
      <c r="K124" s="5" t="s">
        <v>1225</v>
      </c>
      <c r="L124" s="5" t="s">
        <v>1226</v>
      </c>
      <c r="M124" s="5" t="s">
        <v>1227</v>
      </c>
      <c r="N124" s="5" t="s">
        <v>1228</v>
      </c>
      <c r="O124" s="5" t="s">
        <v>1229</v>
      </c>
      <c r="P124" s="5" t="s">
        <v>1230</v>
      </c>
      <c r="Q124" s="3" t="s">
        <v>1172</v>
      </c>
      <c r="R124" s="3" t="s">
        <v>1173</v>
      </c>
      <c r="S124" s="3" t="s">
        <v>1174</v>
      </c>
      <c r="T124" s="1">
        <v>2020</v>
      </c>
      <c r="U124" s="1" t="s">
        <v>1383</v>
      </c>
      <c r="V124" s="1" t="s">
        <v>1384</v>
      </c>
      <c r="W124" s="1" t="s">
        <v>1385</v>
      </c>
      <c r="X124" s="1" t="s">
        <v>1386</v>
      </c>
      <c r="Y124" s="1" t="s">
        <v>1387</v>
      </c>
      <c r="Z124" s="2" t="s">
        <v>1899</v>
      </c>
      <c r="AA124" s="2" t="s">
        <v>1902</v>
      </c>
      <c r="AB124" s="2" t="s">
        <v>1841</v>
      </c>
      <c r="AC124" s="2" t="s">
        <v>1566</v>
      </c>
      <c r="AD124" s="2" t="s">
        <v>60</v>
      </c>
      <c r="AE124" s="2" t="s">
        <v>1863</v>
      </c>
      <c r="AF124" s="2" t="s">
        <v>46</v>
      </c>
      <c r="AG124" s="2" t="s">
        <v>1949</v>
      </c>
    </row>
    <row r="125" spans="1:34" x14ac:dyDescent="0.2">
      <c r="A125" s="22">
        <v>124</v>
      </c>
      <c r="B125" s="3">
        <v>23</v>
      </c>
      <c r="C125" s="3">
        <v>2020</v>
      </c>
      <c r="D125" s="3" t="s">
        <v>534</v>
      </c>
      <c r="E125" s="20">
        <v>43845</v>
      </c>
      <c r="F125" s="20">
        <v>43951</v>
      </c>
      <c r="G125" s="3">
        <v>91</v>
      </c>
      <c r="H125" s="3">
        <v>12</v>
      </c>
      <c r="I125" s="3">
        <v>6</v>
      </c>
      <c r="J125" s="3">
        <v>0</v>
      </c>
      <c r="K125" s="5" t="s">
        <v>1231</v>
      </c>
      <c r="L125" s="5" t="s">
        <v>1232</v>
      </c>
      <c r="M125" s="5" t="s">
        <v>1233</v>
      </c>
      <c r="N125" s="5" t="s">
        <v>1234</v>
      </c>
      <c r="O125" s="5" t="s">
        <v>1235</v>
      </c>
      <c r="P125" s="5" t="s">
        <v>1236</v>
      </c>
      <c r="Q125" s="3" t="s">
        <v>1172</v>
      </c>
      <c r="R125" s="3" t="s">
        <v>1173</v>
      </c>
      <c r="S125" s="3" t="s">
        <v>1174</v>
      </c>
      <c r="T125" s="1">
        <v>2020</v>
      </c>
      <c r="U125" s="1" t="s">
        <v>1388</v>
      </c>
      <c r="V125" s="1" t="s">
        <v>1389</v>
      </c>
      <c r="W125" s="1" t="s">
        <v>423</v>
      </c>
      <c r="X125" s="1" t="s">
        <v>1390</v>
      </c>
      <c r="Y125" s="1" t="s">
        <v>1391</v>
      </c>
      <c r="Z125" s="2" t="s">
        <v>991</v>
      </c>
      <c r="AA125" s="2" t="s">
        <v>1902</v>
      </c>
      <c r="AB125" s="2" t="s">
        <v>1841</v>
      </c>
      <c r="AC125" s="2" t="s">
        <v>1866</v>
      </c>
      <c r="AD125" s="2" t="s">
        <v>61</v>
      </c>
      <c r="AE125" s="2" t="s">
        <v>37</v>
      </c>
      <c r="AF125" s="2" t="s">
        <v>45</v>
      </c>
      <c r="AG125" s="2" t="s">
        <v>1939</v>
      </c>
    </row>
    <row r="126" spans="1:34" x14ac:dyDescent="0.2">
      <c r="A126" s="22">
        <v>125</v>
      </c>
      <c r="B126" s="3">
        <v>23</v>
      </c>
      <c r="C126" s="3">
        <v>2020</v>
      </c>
      <c r="D126" s="3" t="s">
        <v>534</v>
      </c>
      <c r="E126" s="20">
        <v>43845</v>
      </c>
      <c r="F126" s="20">
        <v>43951</v>
      </c>
      <c r="G126" s="3">
        <v>91</v>
      </c>
      <c r="H126" s="3">
        <v>12</v>
      </c>
      <c r="I126" s="3">
        <v>6</v>
      </c>
      <c r="J126" s="3">
        <v>0</v>
      </c>
      <c r="K126" s="5" t="s">
        <v>1237</v>
      </c>
      <c r="L126" s="5" t="s">
        <v>1238</v>
      </c>
      <c r="M126" s="5" t="s">
        <v>1239</v>
      </c>
      <c r="N126" s="5" t="s">
        <v>1240</v>
      </c>
      <c r="O126" s="5" t="s">
        <v>1241</v>
      </c>
      <c r="P126" s="5" t="s">
        <v>1242</v>
      </c>
      <c r="Q126" s="3" t="s">
        <v>1172</v>
      </c>
      <c r="R126" s="3" t="s">
        <v>1173</v>
      </c>
      <c r="S126" s="3" t="s">
        <v>1174</v>
      </c>
      <c r="T126" s="1">
        <v>2020</v>
      </c>
      <c r="U126" s="1" t="s">
        <v>1392</v>
      </c>
      <c r="V126" s="1" t="s">
        <v>1393</v>
      </c>
      <c r="W126" s="1" t="s">
        <v>68</v>
      </c>
      <c r="X126" s="1" t="s">
        <v>1394</v>
      </c>
      <c r="Y126" s="1" t="s">
        <v>1395</v>
      </c>
      <c r="Z126" s="2" t="s">
        <v>15</v>
      </c>
      <c r="AA126" s="2" t="s">
        <v>1901</v>
      </c>
      <c r="AB126" s="2" t="s">
        <v>1840</v>
      </c>
      <c r="AC126" s="2" t="s">
        <v>26</v>
      </c>
      <c r="AD126" s="2" t="s">
        <v>15</v>
      </c>
      <c r="AE126" s="2" t="s">
        <v>1860</v>
      </c>
      <c r="AF126" s="2" t="s">
        <v>46</v>
      </c>
      <c r="AG126" s="2" t="s">
        <v>1882</v>
      </c>
    </row>
    <row r="127" spans="1:34" x14ac:dyDescent="0.2">
      <c r="A127" s="22">
        <v>126</v>
      </c>
      <c r="B127" s="3">
        <v>23</v>
      </c>
      <c r="C127" s="3">
        <v>2020</v>
      </c>
      <c r="D127" s="3" t="s">
        <v>534</v>
      </c>
      <c r="E127" s="20">
        <v>43845</v>
      </c>
      <c r="F127" s="20">
        <v>43951</v>
      </c>
      <c r="G127" s="3">
        <v>91</v>
      </c>
      <c r="H127" s="3">
        <v>12</v>
      </c>
      <c r="I127" s="3">
        <v>6</v>
      </c>
      <c r="J127" s="3">
        <v>0</v>
      </c>
      <c r="K127" s="5" t="s">
        <v>1243</v>
      </c>
      <c r="L127" s="5" t="s">
        <v>1244</v>
      </c>
      <c r="M127" s="5" t="s">
        <v>1245</v>
      </c>
      <c r="N127" s="5" t="s">
        <v>1246</v>
      </c>
      <c r="O127" s="5" t="s">
        <v>1247</v>
      </c>
      <c r="P127" s="5" t="s">
        <v>1248</v>
      </c>
      <c r="Q127" s="3" t="s">
        <v>1172</v>
      </c>
      <c r="R127" s="3" t="s">
        <v>1173</v>
      </c>
      <c r="S127" s="3" t="s">
        <v>1174</v>
      </c>
      <c r="T127" s="1">
        <v>2020</v>
      </c>
      <c r="U127" s="1" t="s">
        <v>1396</v>
      </c>
      <c r="V127" s="1" t="s">
        <v>1397</v>
      </c>
      <c r="W127" s="1" t="s">
        <v>291</v>
      </c>
      <c r="X127" s="1" t="s">
        <v>1398</v>
      </c>
      <c r="Y127" s="1" t="s">
        <v>1399</v>
      </c>
      <c r="Z127" s="2" t="s">
        <v>15</v>
      </c>
      <c r="AA127" s="2" t="s">
        <v>1902</v>
      </c>
      <c r="AB127" s="2" t="s">
        <v>1841</v>
      </c>
      <c r="AC127" s="2" t="s">
        <v>14</v>
      </c>
      <c r="AD127" s="2" t="s">
        <v>15</v>
      </c>
      <c r="AE127" s="2" t="s">
        <v>37</v>
      </c>
      <c r="AF127" s="2" t="s">
        <v>46</v>
      </c>
      <c r="AG127" s="2" t="s">
        <v>55</v>
      </c>
    </row>
    <row r="128" spans="1:34" x14ac:dyDescent="0.2">
      <c r="A128" s="22">
        <v>127</v>
      </c>
      <c r="B128" s="3">
        <v>23</v>
      </c>
      <c r="C128" s="3">
        <v>2020</v>
      </c>
      <c r="D128" s="3" t="s">
        <v>534</v>
      </c>
      <c r="E128" s="20">
        <v>43845</v>
      </c>
      <c r="F128" s="20">
        <v>43951</v>
      </c>
      <c r="G128" s="3">
        <v>91</v>
      </c>
      <c r="H128" s="3">
        <v>12</v>
      </c>
      <c r="I128" s="3">
        <v>6</v>
      </c>
      <c r="J128" s="3">
        <v>0</v>
      </c>
      <c r="K128" s="5" t="s">
        <v>1249</v>
      </c>
      <c r="L128" s="5" t="s">
        <v>1250</v>
      </c>
      <c r="M128" s="5" t="s">
        <v>1251</v>
      </c>
      <c r="N128" s="5" t="s">
        <v>1252</v>
      </c>
      <c r="O128" s="5" t="s">
        <v>1253</v>
      </c>
      <c r="P128" s="5" t="s">
        <v>1254</v>
      </c>
      <c r="Q128" s="3" t="s">
        <v>1172</v>
      </c>
      <c r="R128" s="3" t="s">
        <v>1173</v>
      </c>
      <c r="S128" s="3" t="s">
        <v>1174</v>
      </c>
      <c r="T128" s="1">
        <v>2020</v>
      </c>
      <c r="U128" s="1" t="s">
        <v>1400</v>
      </c>
      <c r="V128" s="1" t="s">
        <v>1401</v>
      </c>
      <c r="W128" s="1" t="s">
        <v>76</v>
      </c>
      <c r="X128" s="1" t="s">
        <v>1402</v>
      </c>
      <c r="Y128" s="1" t="s">
        <v>1403</v>
      </c>
      <c r="Z128" s="2" t="s">
        <v>71</v>
      </c>
      <c r="AA128" s="2" t="s">
        <v>1902</v>
      </c>
      <c r="AB128" s="2" t="s">
        <v>1932</v>
      </c>
      <c r="AC128" s="2" t="s">
        <v>1566</v>
      </c>
      <c r="AD128" s="2" t="s">
        <v>1851</v>
      </c>
      <c r="AE128" s="2" t="s">
        <v>41</v>
      </c>
      <c r="AF128" s="2" t="s">
        <v>47</v>
      </c>
      <c r="AG128" s="2" t="s">
        <v>1851</v>
      </c>
    </row>
    <row r="129" spans="1:34" x14ac:dyDescent="0.2">
      <c r="A129" s="22">
        <v>128</v>
      </c>
      <c r="B129" s="3">
        <v>24</v>
      </c>
      <c r="C129" s="3">
        <v>2021</v>
      </c>
      <c r="D129" s="3" t="s">
        <v>535</v>
      </c>
      <c r="E129" s="20">
        <v>43952</v>
      </c>
      <c r="F129" s="20">
        <v>44027</v>
      </c>
      <c r="G129" s="3">
        <v>65</v>
      </c>
      <c r="H129" s="3">
        <v>7</v>
      </c>
      <c r="I129" s="3">
        <v>3</v>
      </c>
      <c r="J129" s="3">
        <v>0</v>
      </c>
      <c r="K129" s="5" t="s">
        <v>1255</v>
      </c>
      <c r="L129" s="5" t="s">
        <v>1256</v>
      </c>
      <c r="M129" s="5" t="s">
        <v>1257</v>
      </c>
      <c r="N129" s="5" t="s">
        <v>1258</v>
      </c>
      <c r="O129" s="5" t="s">
        <v>1259</v>
      </c>
      <c r="P129" s="5" t="s">
        <v>1260</v>
      </c>
      <c r="Q129" s="3" t="s">
        <v>1175</v>
      </c>
      <c r="R129" s="3" t="s">
        <v>1176</v>
      </c>
      <c r="S129" s="3" t="s">
        <v>1177</v>
      </c>
      <c r="T129" s="1">
        <v>2019</v>
      </c>
      <c r="U129" s="1" t="s">
        <v>1404</v>
      </c>
      <c r="V129" s="1" t="s">
        <v>1405</v>
      </c>
      <c r="W129" s="1" t="s">
        <v>1406</v>
      </c>
      <c r="X129" s="1" t="s">
        <v>1407</v>
      </c>
      <c r="Y129" s="1" t="s">
        <v>1408</v>
      </c>
      <c r="Z129" s="2" t="s">
        <v>1899</v>
      </c>
      <c r="AA129" s="2" t="s">
        <v>1901</v>
      </c>
      <c r="AB129" s="2" t="s">
        <v>24</v>
      </c>
      <c r="AC129" s="2" t="s">
        <v>1566</v>
      </c>
      <c r="AD129" s="2" t="s">
        <v>60</v>
      </c>
      <c r="AE129" s="2" t="s">
        <v>41</v>
      </c>
      <c r="AF129" s="2" t="s">
        <v>45</v>
      </c>
      <c r="AG129" s="2" t="s">
        <v>1885</v>
      </c>
    </row>
    <row r="130" spans="1:34" x14ac:dyDescent="0.2">
      <c r="A130" s="22">
        <v>129</v>
      </c>
      <c r="B130" s="3">
        <v>24</v>
      </c>
      <c r="C130" s="3">
        <v>2021</v>
      </c>
      <c r="D130" s="3" t="s">
        <v>535</v>
      </c>
      <c r="E130" s="20">
        <v>43952</v>
      </c>
      <c r="F130" s="20">
        <v>44027</v>
      </c>
      <c r="G130" s="3">
        <v>65</v>
      </c>
      <c r="H130" s="3">
        <v>7</v>
      </c>
      <c r="I130" s="3">
        <v>3</v>
      </c>
      <c r="J130" s="3">
        <v>0</v>
      </c>
      <c r="K130" s="5" t="s">
        <v>1261</v>
      </c>
      <c r="L130" s="5" t="s">
        <v>1262</v>
      </c>
      <c r="M130" s="5" t="s">
        <v>1263</v>
      </c>
      <c r="N130" s="5" t="s">
        <v>1264</v>
      </c>
      <c r="O130" s="5" t="s">
        <v>1265</v>
      </c>
      <c r="P130" s="5" t="s">
        <v>1266</v>
      </c>
      <c r="Q130" s="3" t="s">
        <v>1175</v>
      </c>
      <c r="R130" s="3" t="s">
        <v>1176</v>
      </c>
      <c r="S130" s="3" t="s">
        <v>1177</v>
      </c>
      <c r="T130" s="1">
        <v>2020</v>
      </c>
      <c r="U130" s="1" t="s">
        <v>1409</v>
      </c>
      <c r="V130" s="1" t="s">
        <v>1410</v>
      </c>
      <c r="W130" s="1" t="s">
        <v>76</v>
      </c>
      <c r="X130" s="1" t="s">
        <v>1411</v>
      </c>
      <c r="Y130" s="1" t="s">
        <v>1412</v>
      </c>
      <c r="Z130" s="2" t="s">
        <v>1899</v>
      </c>
      <c r="AA130" s="2" t="s">
        <v>1902</v>
      </c>
      <c r="AB130" s="2" t="s">
        <v>1841</v>
      </c>
      <c r="AC130" s="2" t="s">
        <v>14</v>
      </c>
      <c r="AD130" s="2" t="s">
        <v>16</v>
      </c>
      <c r="AE130" s="2" t="s">
        <v>44</v>
      </c>
      <c r="AF130" s="2" t="s">
        <v>45</v>
      </c>
      <c r="AG130" s="2" t="s">
        <v>1562</v>
      </c>
      <c r="AH130" s="53" t="s">
        <v>1713</v>
      </c>
    </row>
    <row r="131" spans="1:34" x14ac:dyDescent="0.2">
      <c r="A131" s="22">
        <v>130</v>
      </c>
      <c r="B131" s="3">
        <v>24</v>
      </c>
      <c r="C131" s="3">
        <v>2021</v>
      </c>
      <c r="D131" s="3" t="s">
        <v>535</v>
      </c>
      <c r="E131" s="20">
        <v>43952</v>
      </c>
      <c r="F131" s="20">
        <v>44027</v>
      </c>
      <c r="G131" s="3">
        <v>65</v>
      </c>
      <c r="H131" s="3">
        <v>7</v>
      </c>
      <c r="I131" s="3">
        <v>3</v>
      </c>
      <c r="J131" s="3">
        <v>0</v>
      </c>
      <c r="K131" s="5" t="s">
        <v>1267</v>
      </c>
      <c r="L131" s="5" t="s">
        <v>1268</v>
      </c>
      <c r="M131" s="5" t="s">
        <v>1269</v>
      </c>
      <c r="N131" s="5" t="s">
        <v>1270</v>
      </c>
      <c r="O131" s="5" t="s">
        <v>1271</v>
      </c>
      <c r="P131" s="5" t="s">
        <v>1272</v>
      </c>
      <c r="Q131" s="3" t="s">
        <v>1175</v>
      </c>
      <c r="R131" s="3" t="s">
        <v>1176</v>
      </c>
      <c r="S131" s="3" t="s">
        <v>1177</v>
      </c>
      <c r="T131" s="1">
        <v>2020</v>
      </c>
      <c r="U131" s="1" t="s">
        <v>1413</v>
      </c>
      <c r="V131" s="1" t="s">
        <v>1414</v>
      </c>
      <c r="W131" s="1" t="s">
        <v>291</v>
      </c>
      <c r="X131" s="1" t="s">
        <v>1415</v>
      </c>
      <c r="Y131" s="1" t="s">
        <v>1416</v>
      </c>
      <c r="Z131" s="2" t="s">
        <v>15</v>
      </c>
      <c r="AA131" s="2" t="s">
        <v>1902</v>
      </c>
      <c r="AB131" s="2" t="s">
        <v>1841</v>
      </c>
      <c r="AC131" s="2" t="s">
        <v>1923</v>
      </c>
      <c r="AD131" s="2" t="s">
        <v>15</v>
      </c>
      <c r="AE131" s="2" t="s">
        <v>1894</v>
      </c>
      <c r="AF131" s="2" t="s">
        <v>46</v>
      </c>
      <c r="AG131" s="2" t="s">
        <v>1562</v>
      </c>
      <c r="AH131" s="53" t="s">
        <v>1714</v>
      </c>
    </row>
    <row r="132" spans="1:34" x14ac:dyDescent="0.2">
      <c r="A132" s="22">
        <v>131</v>
      </c>
      <c r="B132" s="3">
        <v>25</v>
      </c>
      <c r="C132" s="3">
        <v>2021</v>
      </c>
      <c r="D132" s="3" t="s">
        <v>1171</v>
      </c>
      <c r="E132" s="20">
        <v>44027</v>
      </c>
      <c r="F132" s="20">
        <v>44119</v>
      </c>
      <c r="G132" s="3">
        <v>108</v>
      </c>
      <c r="H132" s="3">
        <v>8</v>
      </c>
      <c r="I132" s="3">
        <v>3</v>
      </c>
      <c r="J132" s="3">
        <v>0</v>
      </c>
      <c r="K132" s="5" t="s">
        <v>1273</v>
      </c>
      <c r="L132" s="5" t="s">
        <v>1274</v>
      </c>
      <c r="M132" s="5" t="s">
        <v>1275</v>
      </c>
      <c r="N132" s="5" t="s">
        <v>1276</v>
      </c>
      <c r="O132" s="5" t="s">
        <v>1277</v>
      </c>
      <c r="P132" s="5" t="s">
        <v>1278</v>
      </c>
      <c r="Q132" s="3" t="s">
        <v>1178</v>
      </c>
      <c r="R132" s="3" t="s">
        <v>1179</v>
      </c>
      <c r="S132" s="3" t="s">
        <v>1180</v>
      </c>
      <c r="T132" s="1">
        <v>2020</v>
      </c>
      <c r="U132" s="1" t="s">
        <v>1417</v>
      </c>
      <c r="V132" s="1" t="s">
        <v>1418</v>
      </c>
      <c r="W132" s="1" t="s">
        <v>252</v>
      </c>
      <c r="X132" s="1" t="s">
        <v>1419</v>
      </c>
      <c r="Y132" s="1" t="s">
        <v>1420</v>
      </c>
      <c r="Z132" s="2" t="s">
        <v>1899</v>
      </c>
      <c r="AA132" s="2" t="s">
        <v>1902</v>
      </c>
      <c r="AB132" s="2" t="s">
        <v>1841</v>
      </c>
      <c r="AC132" s="2" t="s">
        <v>1566</v>
      </c>
      <c r="AD132" s="2" t="s">
        <v>16</v>
      </c>
      <c r="AE132" s="2" t="s">
        <v>44</v>
      </c>
      <c r="AF132" s="2" t="s">
        <v>45</v>
      </c>
      <c r="AG132" s="2" t="s">
        <v>1562</v>
      </c>
      <c r="AH132" s="53" t="s">
        <v>1964</v>
      </c>
    </row>
    <row r="133" spans="1:34" x14ac:dyDescent="0.2">
      <c r="A133" s="22">
        <v>132</v>
      </c>
      <c r="B133" s="3">
        <v>25</v>
      </c>
      <c r="C133" s="3">
        <v>2021</v>
      </c>
      <c r="D133" s="3" t="s">
        <v>1171</v>
      </c>
      <c r="E133" s="20">
        <v>44027</v>
      </c>
      <c r="F133" s="20">
        <v>44119</v>
      </c>
      <c r="G133" s="3">
        <v>108</v>
      </c>
      <c r="H133" s="3">
        <v>8</v>
      </c>
      <c r="I133" s="3">
        <v>3</v>
      </c>
      <c r="J133" s="3">
        <v>0</v>
      </c>
      <c r="K133" s="5" t="s">
        <v>1279</v>
      </c>
      <c r="L133" s="5" t="s">
        <v>1280</v>
      </c>
      <c r="M133" s="5" t="s">
        <v>1281</v>
      </c>
      <c r="N133" s="5" t="s">
        <v>1282</v>
      </c>
      <c r="O133" s="5" t="s">
        <v>1283</v>
      </c>
      <c r="P133" s="5" t="s">
        <v>1284</v>
      </c>
      <c r="Q133" s="3" t="s">
        <v>1178</v>
      </c>
      <c r="R133" s="3" t="s">
        <v>1179</v>
      </c>
      <c r="S133" s="3" t="s">
        <v>1180</v>
      </c>
      <c r="T133" s="1">
        <v>2020</v>
      </c>
      <c r="U133" s="1" t="s">
        <v>1421</v>
      </c>
      <c r="V133" s="1" t="s">
        <v>1422</v>
      </c>
      <c r="W133" s="1" t="s">
        <v>76</v>
      </c>
      <c r="X133" s="1" t="s">
        <v>1423</v>
      </c>
      <c r="Y133" s="1" t="s">
        <v>1424</v>
      </c>
      <c r="Z133" s="2" t="s">
        <v>1899</v>
      </c>
      <c r="AA133" s="2" t="s">
        <v>1912</v>
      </c>
      <c r="AB133" s="2" t="s">
        <v>1933</v>
      </c>
      <c r="AC133" s="2" t="s">
        <v>1566</v>
      </c>
      <c r="AD133" s="2" t="s">
        <v>1562</v>
      </c>
      <c r="AE133" s="2" t="s">
        <v>42</v>
      </c>
      <c r="AF133" s="2" t="s">
        <v>45</v>
      </c>
      <c r="AG133" s="2" t="s">
        <v>1885</v>
      </c>
      <c r="AH133" s="53" t="s">
        <v>1715</v>
      </c>
    </row>
    <row r="134" spans="1:34" x14ac:dyDescent="0.2">
      <c r="A134" s="22">
        <v>133</v>
      </c>
      <c r="B134" s="3">
        <v>25</v>
      </c>
      <c r="C134" s="3">
        <v>2021</v>
      </c>
      <c r="D134" s="3" t="s">
        <v>1171</v>
      </c>
      <c r="E134" s="20">
        <v>44027</v>
      </c>
      <c r="F134" s="20">
        <v>44119</v>
      </c>
      <c r="G134" s="3">
        <v>108</v>
      </c>
      <c r="H134" s="3">
        <v>8</v>
      </c>
      <c r="I134" s="3">
        <v>3</v>
      </c>
      <c r="J134" s="3">
        <v>0</v>
      </c>
      <c r="K134" s="5" t="s">
        <v>1285</v>
      </c>
      <c r="L134" s="5" t="s">
        <v>1286</v>
      </c>
      <c r="M134" s="5" t="s">
        <v>1287</v>
      </c>
      <c r="N134" s="5" t="s">
        <v>1288</v>
      </c>
      <c r="O134" s="5" t="s">
        <v>1289</v>
      </c>
      <c r="P134" s="5" t="s">
        <v>1290</v>
      </c>
      <c r="Q134" s="3" t="s">
        <v>1178</v>
      </c>
      <c r="R134" s="3" t="s">
        <v>1179</v>
      </c>
      <c r="S134" s="3" t="s">
        <v>1180</v>
      </c>
      <c r="T134" s="1">
        <v>2020</v>
      </c>
      <c r="U134" s="1" t="s">
        <v>1425</v>
      </c>
      <c r="V134" s="1" t="s">
        <v>1426</v>
      </c>
      <c r="W134" s="1" t="s">
        <v>68</v>
      </c>
      <c r="X134" s="1" t="s">
        <v>1427</v>
      </c>
      <c r="Y134" s="1" t="s">
        <v>1428</v>
      </c>
      <c r="Z134" s="2" t="s">
        <v>991</v>
      </c>
      <c r="AA134" s="2" t="s">
        <v>1902</v>
      </c>
      <c r="AB134" s="2" t="s">
        <v>1841</v>
      </c>
      <c r="AC134" s="2" t="s">
        <v>14</v>
      </c>
      <c r="AD134" s="2" t="s">
        <v>61</v>
      </c>
      <c r="AE134" s="2" t="s">
        <v>37</v>
      </c>
      <c r="AF134" s="2" t="s">
        <v>45</v>
      </c>
      <c r="AG134" s="2" t="s">
        <v>1939</v>
      </c>
    </row>
    <row r="135" spans="1:34" x14ac:dyDescent="0.2">
      <c r="A135" s="22">
        <v>134</v>
      </c>
      <c r="B135" s="3">
        <v>26</v>
      </c>
      <c r="C135" s="3">
        <v>2021</v>
      </c>
      <c r="D135" s="3" t="s">
        <v>533</v>
      </c>
      <c r="E135" s="20">
        <v>44119</v>
      </c>
      <c r="F135" s="20">
        <v>44228</v>
      </c>
      <c r="G135" s="3">
        <v>122</v>
      </c>
      <c r="H135" s="3">
        <v>6</v>
      </c>
      <c r="I135" s="3">
        <v>4</v>
      </c>
      <c r="J135" s="3">
        <v>0</v>
      </c>
      <c r="K135" s="5" t="s">
        <v>1291</v>
      </c>
      <c r="L135" s="5" t="s">
        <v>1292</v>
      </c>
      <c r="M135" s="5" t="s">
        <v>1293</v>
      </c>
      <c r="N135" s="5" t="s">
        <v>1294</v>
      </c>
      <c r="O135" s="5" t="s">
        <v>1295</v>
      </c>
      <c r="P135" s="5" t="s">
        <v>1296</v>
      </c>
      <c r="Q135" s="3" t="s">
        <v>1181</v>
      </c>
      <c r="R135" s="3" t="s">
        <v>1182</v>
      </c>
      <c r="S135" s="3" t="s">
        <v>1183</v>
      </c>
      <c r="T135" s="1">
        <v>2020</v>
      </c>
      <c r="U135" s="1" t="s">
        <v>1429</v>
      </c>
      <c r="V135" s="1" t="s">
        <v>1430</v>
      </c>
      <c r="W135" s="1" t="s">
        <v>438</v>
      </c>
      <c r="X135" s="1" t="s">
        <v>1431</v>
      </c>
      <c r="Y135" s="1" t="s">
        <v>1432</v>
      </c>
      <c r="Z135" s="2" t="s">
        <v>991</v>
      </c>
      <c r="AA135" s="2" t="s">
        <v>1902</v>
      </c>
      <c r="AB135" s="2" t="s">
        <v>1841</v>
      </c>
      <c r="AC135" s="2" t="s">
        <v>1866</v>
      </c>
      <c r="AD135" s="2" t="s">
        <v>61</v>
      </c>
      <c r="AE135" s="2" t="s">
        <v>37</v>
      </c>
      <c r="AF135" s="2" t="s">
        <v>45</v>
      </c>
      <c r="AG135" s="2" t="s">
        <v>1940</v>
      </c>
    </row>
    <row r="136" spans="1:34" x14ac:dyDescent="0.2">
      <c r="A136" s="22">
        <v>135</v>
      </c>
      <c r="B136" s="3">
        <v>26</v>
      </c>
      <c r="C136" s="3">
        <v>2021</v>
      </c>
      <c r="D136" s="3" t="s">
        <v>533</v>
      </c>
      <c r="E136" s="20">
        <v>44119</v>
      </c>
      <c r="F136" s="20">
        <v>44228</v>
      </c>
      <c r="G136" s="3">
        <v>122</v>
      </c>
      <c r="H136" s="3">
        <v>6</v>
      </c>
      <c r="I136" s="3">
        <v>4</v>
      </c>
      <c r="J136" s="3">
        <v>0</v>
      </c>
      <c r="K136" s="5" t="s">
        <v>1297</v>
      </c>
      <c r="L136" s="5" t="s">
        <v>1298</v>
      </c>
      <c r="M136" s="5" t="s">
        <v>1299</v>
      </c>
      <c r="N136" s="5" t="s">
        <v>1300</v>
      </c>
      <c r="O136" s="5" t="s">
        <v>1301</v>
      </c>
      <c r="P136" s="5" t="s">
        <v>1302</v>
      </c>
      <c r="Q136" s="3" t="s">
        <v>1181</v>
      </c>
      <c r="R136" s="3" t="s">
        <v>1182</v>
      </c>
      <c r="S136" s="3" t="s">
        <v>1183</v>
      </c>
      <c r="T136" s="1">
        <v>2021</v>
      </c>
      <c r="U136" s="1" t="s">
        <v>1433</v>
      </c>
      <c r="V136" s="1" t="s">
        <v>1434</v>
      </c>
      <c r="W136" s="1" t="s">
        <v>1435</v>
      </c>
      <c r="X136" s="1" t="s">
        <v>1436</v>
      </c>
      <c r="Y136" s="1" t="s">
        <v>1437</v>
      </c>
      <c r="Z136" s="2" t="s">
        <v>15</v>
      </c>
      <c r="AA136" s="2" t="s">
        <v>1902</v>
      </c>
      <c r="AB136" s="2" t="s">
        <v>1841</v>
      </c>
      <c r="AC136" s="2" t="s">
        <v>14</v>
      </c>
      <c r="AD136" s="2" t="s">
        <v>15</v>
      </c>
      <c r="AE136" s="2" t="s">
        <v>37</v>
      </c>
      <c r="AF136" s="2" t="s">
        <v>46</v>
      </c>
      <c r="AG136" s="2" t="s">
        <v>1872</v>
      </c>
    </row>
    <row r="137" spans="1:34" x14ac:dyDescent="0.2">
      <c r="A137" s="22">
        <v>136</v>
      </c>
      <c r="B137" s="3">
        <v>26</v>
      </c>
      <c r="C137" s="3">
        <v>2021</v>
      </c>
      <c r="D137" s="3" t="s">
        <v>533</v>
      </c>
      <c r="E137" s="20">
        <v>44119</v>
      </c>
      <c r="F137" s="20">
        <v>44228</v>
      </c>
      <c r="G137" s="3">
        <v>122</v>
      </c>
      <c r="H137" s="3">
        <v>6</v>
      </c>
      <c r="I137" s="3">
        <v>4</v>
      </c>
      <c r="J137" s="3">
        <v>0</v>
      </c>
      <c r="K137" s="5" t="s">
        <v>1303</v>
      </c>
      <c r="L137" s="5" t="s">
        <v>1304</v>
      </c>
      <c r="M137" s="5" t="s">
        <v>1305</v>
      </c>
      <c r="N137" s="5" t="s">
        <v>1306</v>
      </c>
      <c r="O137" s="5" t="s">
        <v>1307</v>
      </c>
      <c r="P137" s="5" t="s">
        <v>1308</v>
      </c>
      <c r="Q137" s="3" t="s">
        <v>1181</v>
      </c>
      <c r="R137" s="3" t="s">
        <v>1182</v>
      </c>
      <c r="S137" s="3" t="s">
        <v>1183</v>
      </c>
      <c r="T137" s="1">
        <v>2021</v>
      </c>
      <c r="U137" s="1" t="s">
        <v>1438</v>
      </c>
      <c r="V137" s="1" t="s">
        <v>1439</v>
      </c>
      <c r="W137" s="1" t="s">
        <v>68</v>
      </c>
      <c r="X137" s="1" t="s">
        <v>1440</v>
      </c>
      <c r="Y137" s="1" t="s">
        <v>1441</v>
      </c>
      <c r="Z137" s="2" t="s">
        <v>15</v>
      </c>
      <c r="AA137" s="2" t="s">
        <v>1902</v>
      </c>
      <c r="AB137" s="2" t="s">
        <v>1841</v>
      </c>
      <c r="AC137" s="2" t="s">
        <v>14</v>
      </c>
      <c r="AD137" s="2" t="s">
        <v>15</v>
      </c>
      <c r="AE137" s="2" t="s">
        <v>37</v>
      </c>
      <c r="AF137" s="2" t="s">
        <v>46</v>
      </c>
      <c r="AG137" s="2" t="s">
        <v>1716</v>
      </c>
    </row>
    <row r="138" spans="1:34" x14ac:dyDescent="0.2">
      <c r="A138" s="22">
        <v>137</v>
      </c>
      <c r="B138" s="3">
        <v>26</v>
      </c>
      <c r="C138" s="3">
        <v>2021</v>
      </c>
      <c r="D138" s="3" t="s">
        <v>533</v>
      </c>
      <c r="E138" s="20">
        <v>44119</v>
      </c>
      <c r="F138" s="20">
        <v>44228</v>
      </c>
      <c r="G138" s="3">
        <v>122</v>
      </c>
      <c r="H138" s="3">
        <v>6</v>
      </c>
      <c r="I138" s="3">
        <v>4</v>
      </c>
      <c r="J138" s="3">
        <v>0</v>
      </c>
      <c r="K138" s="5" t="s">
        <v>1309</v>
      </c>
      <c r="L138" s="5" t="s">
        <v>1310</v>
      </c>
      <c r="M138" s="5" t="s">
        <v>1311</v>
      </c>
      <c r="N138" s="5" t="s">
        <v>1312</v>
      </c>
      <c r="O138" s="5" t="s">
        <v>1313</v>
      </c>
      <c r="P138" s="5" t="s">
        <v>1314</v>
      </c>
      <c r="Q138" s="3" t="s">
        <v>1181</v>
      </c>
      <c r="R138" s="3" t="s">
        <v>1182</v>
      </c>
      <c r="S138" s="3" t="s">
        <v>1183</v>
      </c>
      <c r="T138" s="1">
        <v>2020</v>
      </c>
      <c r="U138" s="1" t="s">
        <v>1442</v>
      </c>
      <c r="V138" s="1" t="s">
        <v>1443</v>
      </c>
      <c r="W138" s="1" t="s">
        <v>76</v>
      </c>
      <c r="X138" s="1" t="s">
        <v>1444</v>
      </c>
      <c r="Y138" s="1" t="s">
        <v>1445</v>
      </c>
      <c r="Z138" s="2" t="s">
        <v>71</v>
      </c>
      <c r="AA138" s="2" t="s">
        <v>1902</v>
      </c>
      <c r="AB138" s="2" t="s">
        <v>1842</v>
      </c>
      <c r="AC138" s="2" t="s">
        <v>1566</v>
      </c>
      <c r="AD138" s="2" t="s">
        <v>1851</v>
      </c>
      <c r="AE138" s="2" t="s">
        <v>35</v>
      </c>
      <c r="AF138" s="2" t="s">
        <v>47</v>
      </c>
      <c r="AG138" s="2" t="s">
        <v>1851</v>
      </c>
    </row>
    <row r="139" spans="1:34" x14ac:dyDescent="0.2">
      <c r="A139" s="22">
        <v>138</v>
      </c>
      <c r="B139" s="3">
        <v>27</v>
      </c>
      <c r="C139" s="3">
        <v>2021</v>
      </c>
      <c r="D139" s="3" t="s">
        <v>534</v>
      </c>
      <c r="E139" s="20">
        <v>44228</v>
      </c>
      <c r="F139" s="20">
        <v>44316</v>
      </c>
      <c r="G139" s="3">
        <v>88</v>
      </c>
      <c r="H139" s="3">
        <v>6</v>
      </c>
      <c r="I139" s="3">
        <v>4</v>
      </c>
      <c r="J139" s="3">
        <v>0</v>
      </c>
      <c r="K139" s="5" t="s">
        <v>1315</v>
      </c>
      <c r="L139" s="5" t="s">
        <v>1316</v>
      </c>
      <c r="M139" s="5" t="s">
        <v>1317</v>
      </c>
      <c r="N139" s="5" t="s">
        <v>1318</v>
      </c>
      <c r="O139" s="5" t="s">
        <v>1319</v>
      </c>
      <c r="P139" s="5" t="s">
        <v>1320</v>
      </c>
      <c r="Q139" s="3" t="s">
        <v>1184</v>
      </c>
      <c r="R139" s="3" t="s">
        <v>1185</v>
      </c>
      <c r="S139" s="3" t="s">
        <v>1186</v>
      </c>
      <c r="T139" s="1">
        <v>2021</v>
      </c>
      <c r="U139" s="1" t="s">
        <v>1446</v>
      </c>
      <c r="V139" s="1" t="s">
        <v>1447</v>
      </c>
      <c r="W139" s="1" t="s">
        <v>135</v>
      </c>
      <c r="X139" s="1" t="s">
        <v>1448</v>
      </c>
      <c r="Y139" s="1" t="s">
        <v>1449</v>
      </c>
      <c r="Z139" s="2" t="s">
        <v>1899</v>
      </c>
      <c r="AA139" s="2" t="s">
        <v>1902</v>
      </c>
      <c r="AB139" s="2" t="s">
        <v>1839</v>
      </c>
      <c r="AC139" s="2" t="s">
        <v>30</v>
      </c>
      <c r="AD139" s="2" t="s">
        <v>60</v>
      </c>
      <c r="AE139" s="2" t="s">
        <v>1863</v>
      </c>
      <c r="AF139" s="2" t="s">
        <v>46</v>
      </c>
      <c r="AG139" s="2" t="s">
        <v>1916</v>
      </c>
    </row>
    <row r="140" spans="1:34" x14ac:dyDescent="0.2">
      <c r="A140" s="22">
        <v>139</v>
      </c>
      <c r="B140" s="3">
        <v>27</v>
      </c>
      <c r="C140" s="3">
        <v>2021</v>
      </c>
      <c r="D140" s="3" t="s">
        <v>534</v>
      </c>
      <c r="E140" s="20">
        <v>44228</v>
      </c>
      <c r="F140" s="20">
        <v>44316</v>
      </c>
      <c r="G140" s="3">
        <v>88</v>
      </c>
      <c r="H140" s="3">
        <v>6</v>
      </c>
      <c r="I140" s="3">
        <v>4</v>
      </c>
      <c r="J140" s="3">
        <v>0</v>
      </c>
      <c r="K140" s="5" t="s">
        <v>1321</v>
      </c>
      <c r="L140" s="5" t="s">
        <v>1322</v>
      </c>
      <c r="M140" s="5" t="s">
        <v>1323</v>
      </c>
      <c r="N140" s="5" t="s">
        <v>1324</v>
      </c>
      <c r="O140" s="5" t="s">
        <v>1325</v>
      </c>
      <c r="P140" s="5" t="s">
        <v>1326</v>
      </c>
      <c r="Q140" s="3" t="s">
        <v>1184</v>
      </c>
      <c r="R140" s="3" t="s">
        <v>1185</v>
      </c>
      <c r="S140" s="3" t="s">
        <v>1186</v>
      </c>
      <c r="T140" s="1">
        <v>2021</v>
      </c>
      <c r="U140" s="1" t="s">
        <v>1450</v>
      </c>
      <c r="V140" s="1" t="s">
        <v>1451</v>
      </c>
      <c r="W140" s="1" t="s">
        <v>1452</v>
      </c>
      <c r="X140" s="1" t="s">
        <v>1453</v>
      </c>
      <c r="Y140" s="1" t="s">
        <v>1454</v>
      </c>
      <c r="Z140" s="2" t="s">
        <v>1899</v>
      </c>
      <c r="AA140" s="2" t="s">
        <v>1901</v>
      </c>
      <c r="AB140" s="2" t="s">
        <v>24</v>
      </c>
      <c r="AC140" s="2" t="s">
        <v>29</v>
      </c>
      <c r="AD140" s="2" t="s">
        <v>60</v>
      </c>
      <c r="AE140" s="2" t="s">
        <v>1863</v>
      </c>
      <c r="AF140" s="2" t="s">
        <v>46</v>
      </c>
      <c r="AG140" s="2" t="s">
        <v>1829</v>
      </c>
      <c r="AH140" s="53" t="s">
        <v>1717</v>
      </c>
    </row>
    <row r="141" spans="1:34" x14ac:dyDescent="0.2">
      <c r="A141" s="22">
        <v>140</v>
      </c>
      <c r="B141" s="3">
        <v>27</v>
      </c>
      <c r="C141" s="3">
        <v>2021</v>
      </c>
      <c r="D141" s="3" t="s">
        <v>534</v>
      </c>
      <c r="E141" s="20">
        <v>44228</v>
      </c>
      <c r="F141" s="20">
        <v>44316</v>
      </c>
      <c r="G141" s="3">
        <v>88</v>
      </c>
      <c r="H141" s="3">
        <v>6</v>
      </c>
      <c r="I141" s="3">
        <v>4</v>
      </c>
      <c r="J141" s="3">
        <v>0</v>
      </c>
      <c r="K141" s="5" t="s">
        <v>1327</v>
      </c>
      <c r="L141" s="5" t="s">
        <v>1328</v>
      </c>
      <c r="M141" s="5" t="s">
        <v>1329</v>
      </c>
      <c r="N141" s="5" t="s">
        <v>1330</v>
      </c>
      <c r="O141" s="5" t="s">
        <v>1331</v>
      </c>
      <c r="P141" s="5" t="s">
        <v>1332</v>
      </c>
      <c r="Q141" s="3" t="s">
        <v>1184</v>
      </c>
      <c r="R141" s="3" t="s">
        <v>1185</v>
      </c>
      <c r="S141" s="3" t="s">
        <v>1186</v>
      </c>
      <c r="T141" s="1">
        <v>2021</v>
      </c>
      <c r="U141" s="1" t="s">
        <v>1455</v>
      </c>
      <c r="V141" s="1" t="s">
        <v>1456</v>
      </c>
      <c r="W141" s="1" t="s">
        <v>76</v>
      </c>
      <c r="X141" s="1" t="s">
        <v>1457</v>
      </c>
      <c r="Y141" s="1" t="s">
        <v>1458</v>
      </c>
      <c r="Z141" s="2" t="s">
        <v>1899</v>
      </c>
      <c r="AA141" s="2" t="s">
        <v>1902</v>
      </c>
      <c r="AB141" s="2" t="s">
        <v>1841</v>
      </c>
      <c r="AC141" s="2" t="s">
        <v>14</v>
      </c>
      <c r="AD141" s="2" t="s">
        <v>16</v>
      </c>
      <c r="AE141" s="2" t="s">
        <v>44</v>
      </c>
      <c r="AF141" s="2" t="s">
        <v>45</v>
      </c>
      <c r="AG141" s="2" t="s">
        <v>1830</v>
      </c>
      <c r="AH141" s="53" t="s">
        <v>1718</v>
      </c>
    </row>
    <row r="142" spans="1:34" x14ac:dyDescent="0.2">
      <c r="A142" s="22">
        <v>141</v>
      </c>
      <c r="B142" s="3">
        <v>27</v>
      </c>
      <c r="C142" s="3">
        <v>2021</v>
      </c>
      <c r="D142" s="3" t="s">
        <v>534</v>
      </c>
      <c r="E142" s="20">
        <v>44228</v>
      </c>
      <c r="F142" s="20">
        <v>44316</v>
      </c>
      <c r="G142" s="3">
        <v>88</v>
      </c>
      <c r="H142" s="3">
        <v>6</v>
      </c>
      <c r="I142" s="3">
        <v>4</v>
      </c>
      <c r="J142" s="3">
        <v>0</v>
      </c>
      <c r="K142" s="5" t="s">
        <v>1333</v>
      </c>
      <c r="L142" s="5" t="s">
        <v>1334</v>
      </c>
      <c r="M142" s="5" t="s">
        <v>1335</v>
      </c>
      <c r="N142" s="5" t="s">
        <v>1336</v>
      </c>
      <c r="O142" s="5" t="s">
        <v>1337</v>
      </c>
      <c r="P142" s="5" t="s">
        <v>1338</v>
      </c>
      <c r="Q142" s="3" t="s">
        <v>1184</v>
      </c>
      <c r="R142" s="3" t="s">
        <v>1185</v>
      </c>
      <c r="S142" s="3" t="s">
        <v>1186</v>
      </c>
      <c r="T142" s="1">
        <v>2021</v>
      </c>
      <c r="U142" s="1" t="s">
        <v>1459</v>
      </c>
      <c r="V142" s="1" t="s">
        <v>1460</v>
      </c>
      <c r="W142" s="1" t="s">
        <v>1461</v>
      </c>
      <c r="X142" s="1" t="s">
        <v>1462</v>
      </c>
      <c r="Y142" s="1" t="s">
        <v>1463</v>
      </c>
      <c r="Z142" s="2" t="s">
        <v>71</v>
      </c>
      <c r="AA142" s="2" t="s">
        <v>1902</v>
      </c>
      <c r="AB142" s="2" t="s">
        <v>1841</v>
      </c>
      <c r="AC142" s="2" t="s">
        <v>14</v>
      </c>
      <c r="AD142" s="2" t="s">
        <v>1851</v>
      </c>
      <c r="AE142" s="2" t="s">
        <v>35</v>
      </c>
      <c r="AF142" s="2" t="s">
        <v>47</v>
      </c>
      <c r="AG142" s="2" t="s">
        <v>1851</v>
      </c>
    </row>
    <row r="143" spans="1:34" x14ac:dyDescent="0.2">
      <c r="A143" s="22">
        <v>142</v>
      </c>
      <c r="B143" s="3">
        <v>28</v>
      </c>
      <c r="C143" s="3">
        <v>2022</v>
      </c>
      <c r="D143" s="3" t="s">
        <v>535</v>
      </c>
      <c r="E143" s="20">
        <v>44317</v>
      </c>
      <c r="F143" s="20">
        <v>44408</v>
      </c>
      <c r="G143" s="3">
        <v>106</v>
      </c>
      <c r="H143" s="3">
        <v>6</v>
      </c>
      <c r="I143" s="3">
        <v>3</v>
      </c>
      <c r="J143" s="3">
        <v>1</v>
      </c>
      <c r="K143" s="5" t="s">
        <v>1339</v>
      </c>
      <c r="L143" s="5" t="s">
        <v>1340</v>
      </c>
      <c r="M143" s="5" t="s">
        <v>1341</v>
      </c>
      <c r="N143" s="5" t="s">
        <v>1342</v>
      </c>
      <c r="O143" s="5" t="s">
        <v>1343</v>
      </c>
      <c r="P143" s="5" t="s">
        <v>1344</v>
      </c>
      <c r="Q143" s="3" t="s">
        <v>1187</v>
      </c>
      <c r="R143" s="3" t="s">
        <v>1188</v>
      </c>
      <c r="S143" s="3" t="s">
        <v>1189</v>
      </c>
      <c r="T143" s="1">
        <v>2021</v>
      </c>
      <c r="U143" s="1" t="s">
        <v>1464</v>
      </c>
      <c r="V143" s="1" t="s">
        <v>1465</v>
      </c>
      <c r="W143" s="1" t="s">
        <v>236</v>
      </c>
      <c r="X143" s="1" t="s">
        <v>1466</v>
      </c>
      <c r="Y143" s="1" t="s">
        <v>1467</v>
      </c>
      <c r="Z143" s="2" t="s">
        <v>1899</v>
      </c>
      <c r="AA143" s="2" t="s">
        <v>1902</v>
      </c>
      <c r="AB143" s="2" t="s">
        <v>1841</v>
      </c>
      <c r="AC143" s="2" t="s">
        <v>1566</v>
      </c>
      <c r="AD143" s="2" t="s">
        <v>60</v>
      </c>
      <c r="AE143" s="2" t="s">
        <v>1863</v>
      </c>
      <c r="AF143" s="2" t="s">
        <v>46</v>
      </c>
      <c r="AG143" s="2" t="s">
        <v>1829</v>
      </c>
      <c r="AH143" s="53" t="s">
        <v>1719</v>
      </c>
    </row>
    <row r="144" spans="1:34" x14ac:dyDescent="0.2">
      <c r="A144" s="22">
        <v>143</v>
      </c>
      <c r="B144" s="3">
        <v>28</v>
      </c>
      <c r="C144" s="3">
        <v>2022</v>
      </c>
      <c r="D144" s="3" t="s">
        <v>535</v>
      </c>
      <c r="E144" s="20">
        <v>44317</v>
      </c>
      <c r="F144" s="20">
        <v>44408</v>
      </c>
      <c r="G144" s="3">
        <v>106</v>
      </c>
      <c r="H144" s="3">
        <v>6</v>
      </c>
      <c r="I144" s="3">
        <v>3</v>
      </c>
      <c r="J144" s="3">
        <v>1</v>
      </c>
      <c r="K144" s="5" t="s">
        <v>1345</v>
      </c>
      <c r="L144" s="5" t="s">
        <v>1346</v>
      </c>
      <c r="M144" s="5" t="s">
        <v>1347</v>
      </c>
      <c r="N144" s="5" t="s">
        <v>1348</v>
      </c>
      <c r="O144" s="5" t="s">
        <v>1349</v>
      </c>
      <c r="P144" s="5" t="s">
        <v>1350</v>
      </c>
      <c r="Q144" s="3" t="s">
        <v>1187</v>
      </c>
      <c r="R144" s="3" t="s">
        <v>1188</v>
      </c>
      <c r="S144" s="3" t="s">
        <v>1189</v>
      </c>
      <c r="T144" s="1">
        <v>2021</v>
      </c>
      <c r="U144" s="1" t="s">
        <v>1468</v>
      </c>
      <c r="V144" s="1" t="s">
        <v>1469</v>
      </c>
      <c r="W144" s="1" t="s">
        <v>1470</v>
      </c>
      <c r="X144" s="1" t="s">
        <v>1471</v>
      </c>
      <c r="Y144" s="1" t="s">
        <v>1472</v>
      </c>
      <c r="Z144" s="2" t="s">
        <v>1899</v>
      </c>
      <c r="AA144" s="2" t="s">
        <v>1902</v>
      </c>
      <c r="AB144" s="2" t="s">
        <v>1841</v>
      </c>
      <c r="AC144" s="2" t="s">
        <v>14</v>
      </c>
      <c r="AD144" s="2" t="s">
        <v>16</v>
      </c>
      <c r="AE144" s="2" t="s">
        <v>44</v>
      </c>
      <c r="AF144" s="2" t="s">
        <v>45</v>
      </c>
      <c r="AG144" s="2" t="s">
        <v>1562</v>
      </c>
      <c r="AH144" s="53" t="s">
        <v>1720</v>
      </c>
    </row>
    <row r="145" spans="1:34" x14ac:dyDescent="0.2">
      <c r="A145" s="22">
        <v>144</v>
      </c>
      <c r="B145" s="3">
        <v>28</v>
      </c>
      <c r="C145" s="3">
        <v>2022</v>
      </c>
      <c r="D145" s="3" t="s">
        <v>535</v>
      </c>
      <c r="E145" s="20">
        <v>44317</v>
      </c>
      <c r="F145" s="20">
        <v>44408</v>
      </c>
      <c r="G145" s="3">
        <v>106</v>
      </c>
      <c r="H145" s="3">
        <v>6</v>
      </c>
      <c r="I145" s="3">
        <v>3</v>
      </c>
      <c r="J145" s="3">
        <v>1</v>
      </c>
      <c r="K145" s="5" t="s">
        <v>1351</v>
      </c>
      <c r="L145" s="5" t="s">
        <v>1352</v>
      </c>
      <c r="M145" s="5" t="s">
        <v>1353</v>
      </c>
      <c r="N145" s="5" t="s">
        <v>1354</v>
      </c>
      <c r="O145" s="5" t="s">
        <v>1355</v>
      </c>
      <c r="P145" s="5" t="s">
        <v>1356</v>
      </c>
      <c r="Q145" s="3" t="s">
        <v>1187</v>
      </c>
      <c r="R145" s="3" t="s">
        <v>1188</v>
      </c>
      <c r="S145" s="3" t="s">
        <v>1189</v>
      </c>
      <c r="T145" s="1">
        <v>2021</v>
      </c>
      <c r="U145" s="1" t="s">
        <v>1473</v>
      </c>
      <c r="V145" s="1" t="s">
        <v>1474</v>
      </c>
      <c r="W145" s="1" t="s">
        <v>1475</v>
      </c>
      <c r="X145" s="1" t="s">
        <v>1476</v>
      </c>
      <c r="Y145" s="1" t="s">
        <v>1477</v>
      </c>
      <c r="Z145" s="2" t="s">
        <v>1190</v>
      </c>
      <c r="AA145" s="2" t="s">
        <v>1902</v>
      </c>
      <c r="AB145" s="2" t="s">
        <v>1841</v>
      </c>
      <c r="AC145" s="2" t="s">
        <v>14</v>
      </c>
      <c r="AD145" s="2" t="s">
        <v>1562</v>
      </c>
      <c r="AE145" s="2" t="s">
        <v>37</v>
      </c>
      <c r="AF145" s="2" t="s">
        <v>47</v>
      </c>
      <c r="AG145" s="2" t="s">
        <v>1562</v>
      </c>
      <c r="AH145" s="53" t="s">
        <v>1721</v>
      </c>
    </row>
    <row r="146" spans="1:34" x14ac:dyDescent="0.2">
      <c r="A146" s="22">
        <v>145</v>
      </c>
      <c r="B146" s="3">
        <v>29</v>
      </c>
      <c r="C146" s="3">
        <v>2022</v>
      </c>
      <c r="D146" s="3" t="s">
        <v>532</v>
      </c>
      <c r="E146" s="20">
        <v>44409</v>
      </c>
      <c r="F146" s="20">
        <v>44484</v>
      </c>
      <c r="G146" s="3">
        <v>82</v>
      </c>
      <c r="H146" s="3">
        <v>6</v>
      </c>
      <c r="I146" s="3">
        <v>3</v>
      </c>
      <c r="J146" s="3">
        <v>0</v>
      </c>
      <c r="K146" s="5" t="s">
        <v>1653</v>
      </c>
      <c r="L146" s="5" t="s">
        <v>1654</v>
      </c>
      <c r="M146" s="5" t="s">
        <v>1658</v>
      </c>
      <c r="N146" s="5" t="s">
        <v>1659</v>
      </c>
      <c r="O146" s="5" t="s">
        <v>1664</v>
      </c>
      <c r="P146" s="5" t="s">
        <v>1665</v>
      </c>
      <c r="Q146" s="3" t="s">
        <v>1670</v>
      </c>
      <c r="R146" s="3" t="s">
        <v>1671</v>
      </c>
      <c r="S146" s="3" t="s">
        <v>1672</v>
      </c>
      <c r="T146" s="1">
        <v>2021</v>
      </c>
      <c r="U146" s="1" t="s">
        <v>1673</v>
      </c>
      <c r="V146" s="1" t="s">
        <v>1674</v>
      </c>
      <c r="W146" s="1" t="s">
        <v>1675</v>
      </c>
      <c r="X146" s="1" t="s">
        <v>1676</v>
      </c>
      <c r="Y146" s="1" t="s">
        <v>1677</v>
      </c>
      <c r="Z146" s="2" t="s">
        <v>1899</v>
      </c>
      <c r="AA146" s="2" t="s">
        <v>1901</v>
      </c>
      <c r="AB146" s="2" t="s">
        <v>1840</v>
      </c>
      <c r="AC146" s="2" t="s">
        <v>26</v>
      </c>
      <c r="AD146" s="2" t="s">
        <v>16</v>
      </c>
      <c r="AE146" s="2" t="s">
        <v>44</v>
      </c>
      <c r="AF146" s="2" t="s">
        <v>46</v>
      </c>
      <c r="AG146" s="2" t="s">
        <v>1956</v>
      </c>
    </row>
    <row r="147" spans="1:34" x14ac:dyDescent="0.2">
      <c r="A147" s="22">
        <v>146</v>
      </c>
      <c r="B147" s="3">
        <v>29</v>
      </c>
      <c r="C147" s="3">
        <v>2022</v>
      </c>
      <c r="D147" s="3" t="s">
        <v>532</v>
      </c>
      <c r="E147" s="20">
        <v>44409</v>
      </c>
      <c r="F147" s="20">
        <v>44484</v>
      </c>
      <c r="G147" s="3">
        <v>82</v>
      </c>
      <c r="H147" s="3">
        <v>6</v>
      </c>
      <c r="I147" s="3">
        <v>3</v>
      </c>
      <c r="J147" s="3">
        <v>0</v>
      </c>
      <c r="K147" s="5" t="s">
        <v>1655</v>
      </c>
      <c r="L147" s="5" t="s">
        <v>1656</v>
      </c>
      <c r="M147" s="5" t="s">
        <v>1660</v>
      </c>
      <c r="N147" s="5" t="s">
        <v>1661</v>
      </c>
      <c r="O147" s="5" t="s">
        <v>1666</v>
      </c>
      <c r="P147" s="5" t="s">
        <v>1667</v>
      </c>
      <c r="Q147" s="3" t="s">
        <v>1670</v>
      </c>
      <c r="R147" s="3" t="s">
        <v>1671</v>
      </c>
      <c r="S147" s="3" t="s">
        <v>1672</v>
      </c>
      <c r="T147" s="1">
        <v>2021</v>
      </c>
      <c r="U147" s="1" t="s">
        <v>1678</v>
      </c>
      <c r="V147" s="1" t="s">
        <v>1679</v>
      </c>
      <c r="W147" s="1" t="s">
        <v>1680</v>
      </c>
      <c r="X147" s="1" t="s">
        <v>1681</v>
      </c>
      <c r="Y147" s="1" t="s">
        <v>1682</v>
      </c>
      <c r="Z147" s="2" t="s">
        <v>1899</v>
      </c>
      <c r="AA147" s="2" t="s">
        <v>1902</v>
      </c>
      <c r="AB147" s="2" t="s">
        <v>1841</v>
      </c>
      <c r="AC147" s="2" t="s">
        <v>14</v>
      </c>
      <c r="AD147" s="2" t="s">
        <v>16</v>
      </c>
      <c r="AE147" s="2" t="s">
        <v>44</v>
      </c>
      <c r="AF147" s="2" t="s">
        <v>46</v>
      </c>
      <c r="AG147" s="2" t="s">
        <v>1904</v>
      </c>
    </row>
    <row r="148" spans="1:34" x14ac:dyDescent="0.2">
      <c r="A148" s="22">
        <v>147</v>
      </c>
      <c r="B148" s="3">
        <v>29</v>
      </c>
      <c r="C148" s="3">
        <v>2022</v>
      </c>
      <c r="D148" s="3" t="s">
        <v>532</v>
      </c>
      <c r="E148" s="20">
        <v>44409</v>
      </c>
      <c r="F148" s="20">
        <v>44484</v>
      </c>
      <c r="G148" s="3">
        <v>82</v>
      </c>
      <c r="H148" s="3">
        <v>6</v>
      </c>
      <c r="I148" s="3">
        <v>3</v>
      </c>
      <c r="J148" s="3">
        <v>0</v>
      </c>
      <c r="K148" s="5" t="s">
        <v>1722</v>
      </c>
      <c r="L148" s="5" t="s">
        <v>1657</v>
      </c>
      <c r="M148" s="5" t="s">
        <v>1662</v>
      </c>
      <c r="N148" s="5" t="s">
        <v>1663</v>
      </c>
      <c r="O148" s="5" t="s">
        <v>1668</v>
      </c>
      <c r="P148" s="5" t="s">
        <v>1669</v>
      </c>
      <c r="Q148" s="3" t="s">
        <v>1670</v>
      </c>
      <c r="R148" s="3" t="s">
        <v>1671</v>
      </c>
      <c r="S148" s="3" t="s">
        <v>1672</v>
      </c>
      <c r="T148" s="1">
        <v>2021</v>
      </c>
      <c r="U148" s="1" t="s">
        <v>1683</v>
      </c>
      <c r="V148" s="1" t="s">
        <v>1684</v>
      </c>
      <c r="W148" s="1" t="s">
        <v>1685</v>
      </c>
      <c r="X148" s="1" t="s">
        <v>1836</v>
      </c>
      <c r="Y148" s="1" t="s">
        <v>1686</v>
      </c>
      <c r="Z148" s="2" t="s">
        <v>15</v>
      </c>
      <c r="AA148" s="2" t="s">
        <v>1901</v>
      </c>
      <c r="AB148" s="2" t="s">
        <v>1840</v>
      </c>
      <c r="AC148" s="2" t="s">
        <v>27</v>
      </c>
      <c r="AD148" s="2" t="s">
        <v>15</v>
      </c>
      <c r="AE148" s="2" t="s">
        <v>35</v>
      </c>
      <c r="AF148" s="2" t="s">
        <v>46</v>
      </c>
      <c r="AG148" s="2" t="s">
        <v>1917</v>
      </c>
    </row>
    <row r="149" spans="1:34" x14ac:dyDescent="0.2">
      <c r="A149" s="22">
        <v>148</v>
      </c>
      <c r="B149" s="3">
        <v>29</v>
      </c>
      <c r="C149" s="3">
        <v>2022</v>
      </c>
      <c r="D149" s="3" t="s">
        <v>532</v>
      </c>
      <c r="E149" s="20">
        <v>44409</v>
      </c>
      <c r="F149" s="20">
        <v>44484</v>
      </c>
      <c r="G149" s="3">
        <v>82</v>
      </c>
      <c r="H149" s="3">
        <v>6</v>
      </c>
      <c r="I149" s="3">
        <v>3</v>
      </c>
      <c r="J149" s="3">
        <v>0</v>
      </c>
      <c r="K149" s="5" t="s">
        <v>1722</v>
      </c>
      <c r="L149" s="5" t="s">
        <v>1657</v>
      </c>
      <c r="M149" s="5" t="s">
        <v>1662</v>
      </c>
      <c r="N149" s="5" t="s">
        <v>1663</v>
      </c>
      <c r="O149" s="5" t="s">
        <v>1668</v>
      </c>
      <c r="P149" s="5" t="s">
        <v>1669</v>
      </c>
      <c r="Q149" s="3" t="s">
        <v>1670</v>
      </c>
      <c r="R149" s="3" t="s">
        <v>1671</v>
      </c>
      <c r="S149" s="3" t="s">
        <v>1672</v>
      </c>
      <c r="T149" s="1">
        <v>2021</v>
      </c>
      <c r="U149" s="1" t="s">
        <v>1687</v>
      </c>
      <c r="V149" s="1" t="s">
        <v>1688</v>
      </c>
      <c r="W149" s="1" t="s">
        <v>72</v>
      </c>
      <c r="X149" s="1" t="s">
        <v>1751</v>
      </c>
      <c r="Y149" s="1" t="s">
        <v>1689</v>
      </c>
      <c r="Z149" s="2" t="s">
        <v>15</v>
      </c>
      <c r="AA149" s="2" t="s">
        <v>1901</v>
      </c>
      <c r="AB149" s="2" t="s">
        <v>1840</v>
      </c>
      <c r="AC149" s="2" t="s">
        <v>27</v>
      </c>
      <c r="AD149" s="2" t="s">
        <v>15</v>
      </c>
      <c r="AE149" s="2" t="s">
        <v>35</v>
      </c>
      <c r="AF149" s="2" t="s">
        <v>46</v>
      </c>
      <c r="AG149" s="2" t="s">
        <v>1882</v>
      </c>
    </row>
    <row r="150" spans="1:34" x14ac:dyDescent="0.2">
      <c r="A150" s="22">
        <v>149</v>
      </c>
      <c r="B150" s="3">
        <v>30</v>
      </c>
      <c r="C150" s="3">
        <v>2022</v>
      </c>
      <c r="D150" s="3" t="s">
        <v>533</v>
      </c>
      <c r="E150" s="20">
        <v>44484</v>
      </c>
      <c r="F150" s="20">
        <v>44576</v>
      </c>
      <c r="G150" s="3">
        <v>123</v>
      </c>
      <c r="H150" s="3">
        <v>8</v>
      </c>
      <c r="I150" s="3">
        <v>4</v>
      </c>
      <c r="J150" s="3">
        <v>0</v>
      </c>
      <c r="K150" s="5" t="s">
        <v>1723</v>
      </c>
      <c r="L150" s="5" t="s">
        <v>1724</v>
      </c>
      <c r="M150" s="5" t="s">
        <v>1785</v>
      </c>
      <c r="N150" s="5" t="s">
        <v>1786</v>
      </c>
      <c r="O150" s="5" t="s">
        <v>1801</v>
      </c>
      <c r="P150" s="5" t="s">
        <v>1802</v>
      </c>
      <c r="Q150" s="3" t="s">
        <v>1725</v>
      </c>
      <c r="R150" s="3" t="s">
        <v>1726</v>
      </c>
      <c r="S150" s="3" t="s">
        <v>1727</v>
      </c>
      <c r="T150" s="1">
        <v>2021</v>
      </c>
      <c r="U150" s="1" t="s">
        <v>1733</v>
      </c>
      <c r="V150" s="1" t="s">
        <v>1734</v>
      </c>
      <c r="W150" s="1" t="s">
        <v>1735</v>
      </c>
      <c r="X150" s="1" t="s">
        <v>1736</v>
      </c>
      <c r="Y150" s="1" t="s">
        <v>1737</v>
      </c>
      <c r="Z150" s="2" t="s">
        <v>1899</v>
      </c>
      <c r="AA150" s="2" t="s">
        <v>1902</v>
      </c>
      <c r="AB150" s="2" t="s">
        <v>1841</v>
      </c>
      <c r="AC150" s="2" t="s">
        <v>1566</v>
      </c>
      <c r="AD150" s="2" t="s">
        <v>60</v>
      </c>
      <c r="AE150" s="2" t="s">
        <v>1863</v>
      </c>
      <c r="AF150" s="2" t="s">
        <v>46</v>
      </c>
      <c r="AG150" s="2" t="s">
        <v>1831</v>
      </c>
      <c r="AH150" s="53" t="s">
        <v>1832</v>
      </c>
    </row>
    <row r="151" spans="1:34" x14ac:dyDescent="0.2">
      <c r="A151" s="22">
        <v>150</v>
      </c>
      <c r="B151" s="3">
        <v>30</v>
      </c>
      <c r="C151" s="3">
        <v>2022</v>
      </c>
      <c r="D151" s="3" t="s">
        <v>533</v>
      </c>
      <c r="E151" s="20">
        <v>44484</v>
      </c>
      <c r="F151" s="20">
        <v>44576</v>
      </c>
      <c r="G151" s="3">
        <v>123</v>
      </c>
      <c r="H151" s="3">
        <v>8</v>
      </c>
      <c r="I151" s="3">
        <v>4</v>
      </c>
      <c r="J151" s="3">
        <v>0</v>
      </c>
      <c r="K151" s="5" t="s">
        <v>1731</v>
      </c>
      <c r="L151" s="5" t="s">
        <v>1732</v>
      </c>
      <c r="M151" s="5" t="s">
        <v>1787</v>
      </c>
      <c r="N151" s="5" t="s">
        <v>1788</v>
      </c>
      <c r="O151" s="5" t="s">
        <v>1803</v>
      </c>
      <c r="P151" s="5" t="s">
        <v>1804</v>
      </c>
      <c r="Q151" s="3" t="s">
        <v>1725</v>
      </c>
      <c r="R151" s="3" t="s">
        <v>1726</v>
      </c>
      <c r="S151" s="3" t="s">
        <v>1727</v>
      </c>
      <c r="T151" s="1">
        <v>2021</v>
      </c>
      <c r="U151" s="1" t="s">
        <v>1738</v>
      </c>
      <c r="V151" s="1" t="s">
        <v>1739</v>
      </c>
      <c r="W151" s="1" t="s">
        <v>69</v>
      </c>
      <c r="X151" s="1" t="s">
        <v>1740</v>
      </c>
      <c r="Y151" s="1" t="s">
        <v>1741</v>
      </c>
      <c r="Z151" s="2" t="s">
        <v>15</v>
      </c>
      <c r="AA151" s="2" t="s">
        <v>1913</v>
      </c>
      <c r="AB151" s="2" t="s">
        <v>1934</v>
      </c>
      <c r="AC151" s="2" t="s">
        <v>1833</v>
      </c>
      <c r="AD151" s="2" t="s">
        <v>15</v>
      </c>
      <c r="AE151" s="2" t="s">
        <v>1935</v>
      </c>
      <c r="AF151" s="2" t="s">
        <v>46</v>
      </c>
      <c r="AG151" s="2" t="s">
        <v>1882</v>
      </c>
    </row>
    <row r="152" spans="1:34" x14ac:dyDescent="0.2">
      <c r="A152" s="22">
        <v>151</v>
      </c>
      <c r="B152" s="3">
        <v>30</v>
      </c>
      <c r="C152" s="3">
        <v>2022</v>
      </c>
      <c r="D152" s="3" t="s">
        <v>533</v>
      </c>
      <c r="E152" s="20">
        <v>44484</v>
      </c>
      <c r="F152" s="20">
        <v>44576</v>
      </c>
      <c r="G152" s="3">
        <v>123</v>
      </c>
      <c r="H152" s="3">
        <v>8</v>
      </c>
      <c r="I152" s="3">
        <v>4</v>
      </c>
      <c r="J152" s="3">
        <v>0</v>
      </c>
      <c r="K152" s="5" t="s">
        <v>1742</v>
      </c>
      <c r="L152" s="5" t="s">
        <v>1743</v>
      </c>
      <c r="M152" s="5" t="s">
        <v>1789</v>
      </c>
      <c r="N152" s="5" t="s">
        <v>1790</v>
      </c>
      <c r="O152" s="5" t="s">
        <v>1805</v>
      </c>
      <c r="P152" s="5" t="s">
        <v>1806</v>
      </c>
      <c r="Q152" s="3" t="s">
        <v>1725</v>
      </c>
      <c r="R152" s="3" t="s">
        <v>1726</v>
      </c>
      <c r="S152" s="3" t="s">
        <v>1727</v>
      </c>
      <c r="T152" s="1">
        <v>2021</v>
      </c>
      <c r="U152" s="1" t="s">
        <v>1744</v>
      </c>
      <c r="V152" s="1" t="s">
        <v>1745</v>
      </c>
      <c r="W152" s="1" t="s">
        <v>70</v>
      </c>
      <c r="X152" s="1" t="s">
        <v>1746</v>
      </c>
      <c r="Y152" s="1" t="s">
        <v>1747</v>
      </c>
      <c r="Z152" s="2" t="s">
        <v>991</v>
      </c>
      <c r="AA152" s="2" t="s">
        <v>1902</v>
      </c>
      <c r="AB152" s="2" t="s">
        <v>1841</v>
      </c>
      <c r="AC152" s="2" t="s">
        <v>14</v>
      </c>
      <c r="AD152" s="2" t="s">
        <v>61</v>
      </c>
      <c r="AE152" s="2" t="s">
        <v>37</v>
      </c>
      <c r="AF152" s="2" t="s">
        <v>45</v>
      </c>
      <c r="AG152" s="2" t="s">
        <v>1905</v>
      </c>
    </row>
    <row r="153" spans="1:34" x14ac:dyDescent="0.2">
      <c r="A153" s="22">
        <v>152</v>
      </c>
      <c r="B153" s="3">
        <v>30</v>
      </c>
      <c r="C153" s="3">
        <v>2022</v>
      </c>
      <c r="D153" s="3" t="s">
        <v>533</v>
      </c>
      <c r="E153" s="20">
        <v>44484</v>
      </c>
      <c r="F153" s="20">
        <v>44576</v>
      </c>
      <c r="G153" s="3">
        <v>123</v>
      </c>
      <c r="H153" s="3">
        <v>8</v>
      </c>
      <c r="I153" s="3">
        <v>4</v>
      </c>
      <c r="J153" s="3">
        <v>0</v>
      </c>
      <c r="K153" s="5" t="s">
        <v>1742</v>
      </c>
      <c r="L153" s="5" t="s">
        <v>1743</v>
      </c>
      <c r="M153" s="5" t="s">
        <v>1789</v>
      </c>
      <c r="N153" s="5" t="s">
        <v>1790</v>
      </c>
      <c r="O153" s="5" t="s">
        <v>1805</v>
      </c>
      <c r="P153" s="5" t="s">
        <v>1806</v>
      </c>
      <c r="Q153" s="3" t="s">
        <v>1725</v>
      </c>
      <c r="R153" s="3" t="s">
        <v>1726</v>
      </c>
      <c r="S153" s="3" t="s">
        <v>1727</v>
      </c>
      <c r="T153" s="1">
        <v>2021</v>
      </c>
      <c r="U153" s="1" t="s">
        <v>1744</v>
      </c>
      <c r="V153" s="1" t="s">
        <v>1748</v>
      </c>
      <c r="W153" s="1" t="s">
        <v>1749</v>
      </c>
      <c r="X153" s="1" t="s">
        <v>1750</v>
      </c>
      <c r="Y153" s="1" t="s">
        <v>1752</v>
      </c>
      <c r="Z153" s="2" t="s">
        <v>991</v>
      </c>
      <c r="AA153" s="2" t="s">
        <v>1902</v>
      </c>
      <c r="AB153" s="2" t="s">
        <v>1841</v>
      </c>
      <c r="AC153" s="2" t="s">
        <v>14</v>
      </c>
      <c r="AD153" s="2" t="s">
        <v>61</v>
      </c>
      <c r="AE153" s="2" t="s">
        <v>37</v>
      </c>
      <c r="AF153" s="2" t="s">
        <v>45</v>
      </c>
      <c r="AG153" s="2" t="s">
        <v>1905</v>
      </c>
    </row>
    <row r="154" spans="1:34" x14ac:dyDescent="0.2">
      <c r="A154" s="22">
        <v>153</v>
      </c>
      <c r="B154" s="3">
        <v>31</v>
      </c>
      <c r="C154" s="3">
        <v>2022</v>
      </c>
      <c r="D154" s="3" t="s">
        <v>534</v>
      </c>
      <c r="E154" s="20">
        <v>44576</v>
      </c>
      <c r="F154" s="20">
        <v>44666</v>
      </c>
      <c r="G154" s="3">
        <v>108</v>
      </c>
      <c r="H154" s="3">
        <v>6</v>
      </c>
      <c r="I154" s="3">
        <v>5</v>
      </c>
      <c r="J154" s="3">
        <v>0</v>
      </c>
      <c r="K154" s="5" t="s">
        <v>1753</v>
      </c>
      <c r="L154" s="5" t="s">
        <v>1754</v>
      </c>
      <c r="M154" s="5" t="s">
        <v>1791</v>
      </c>
      <c r="N154" s="5" t="s">
        <v>1792</v>
      </c>
      <c r="O154" s="5" t="s">
        <v>1807</v>
      </c>
      <c r="P154" s="5" t="s">
        <v>1808</v>
      </c>
      <c r="Q154" s="3" t="s">
        <v>1728</v>
      </c>
      <c r="R154" s="3" t="s">
        <v>1729</v>
      </c>
      <c r="S154" s="3" t="s">
        <v>1730</v>
      </c>
      <c r="T154" s="1">
        <v>2022</v>
      </c>
      <c r="U154" s="1" t="s">
        <v>1755</v>
      </c>
      <c r="V154" s="1" t="s">
        <v>1756</v>
      </c>
      <c r="W154" s="1" t="s">
        <v>1757</v>
      </c>
      <c r="X154" s="1" t="s">
        <v>1758</v>
      </c>
      <c r="Y154" s="1" t="s">
        <v>1759</v>
      </c>
      <c r="Z154" s="2" t="s">
        <v>1899</v>
      </c>
      <c r="AA154" s="2" t="s">
        <v>1902</v>
      </c>
      <c r="AB154" s="2" t="s">
        <v>1841</v>
      </c>
      <c r="AC154" s="2" t="s">
        <v>1566</v>
      </c>
      <c r="AD154" s="2" t="s">
        <v>16</v>
      </c>
      <c r="AE154" s="2" t="s">
        <v>44</v>
      </c>
      <c r="AF154" s="2" t="s">
        <v>46</v>
      </c>
      <c r="AG154" s="2" t="s">
        <v>1882</v>
      </c>
    </row>
    <row r="155" spans="1:34" x14ac:dyDescent="0.2">
      <c r="A155" s="22">
        <v>154</v>
      </c>
      <c r="B155" s="3">
        <v>31</v>
      </c>
      <c r="C155" s="3">
        <v>2022</v>
      </c>
      <c r="D155" s="3" t="s">
        <v>534</v>
      </c>
      <c r="E155" s="20">
        <v>44576</v>
      </c>
      <c r="F155" s="20">
        <v>44666</v>
      </c>
      <c r="G155" s="3">
        <v>108</v>
      </c>
      <c r="H155" s="3">
        <v>6</v>
      </c>
      <c r="I155" s="3">
        <v>5</v>
      </c>
      <c r="J155" s="3">
        <v>0</v>
      </c>
      <c r="K155" s="5" t="s">
        <v>1760</v>
      </c>
      <c r="L155" s="5" t="s">
        <v>1761</v>
      </c>
      <c r="M155" s="5" t="s">
        <v>1793</v>
      </c>
      <c r="N155" s="5" t="s">
        <v>1794</v>
      </c>
      <c r="O155" s="5" t="s">
        <v>1809</v>
      </c>
      <c r="P155" s="5" t="s">
        <v>1810</v>
      </c>
      <c r="Q155" s="3" t="s">
        <v>1728</v>
      </c>
      <c r="R155" s="3" t="s">
        <v>1729</v>
      </c>
      <c r="S155" s="3" t="s">
        <v>1730</v>
      </c>
      <c r="T155" s="1">
        <v>2022</v>
      </c>
      <c r="U155" s="1" t="s">
        <v>1762</v>
      </c>
      <c r="V155" s="1" t="s">
        <v>1763</v>
      </c>
      <c r="W155" s="1" t="s">
        <v>70</v>
      </c>
      <c r="X155" s="1" t="s">
        <v>1764</v>
      </c>
      <c r="Y155" s="1" t="s">
        <v>1765</v>
      </c>
      <c r="Z155" s="2" t="s">
        <v>1899</v>
      </c>
      <c r="AA155" s="2" t="s">
        <v>1902</v>
      </c>
      <c r="AB155" s="2" t="s">
        <v>1841</v>
      </c>
      <c r="AC155" s="2" t="s">
        <v>1566</v>
      </c>
      <c r="AD155" s="2" t="s">
        <v>16</v>
      </c>
      <c r="AE155" s="2" t="s">
        <v>44</v>
      </c>
      <c r="AF155" s="2" t="s">
        <v>45</v>
      </c>
      <c r="AG155" s="2" t="s">
        <v>1562</v>
      </c>
    </row>
    <row r="156" spans="1:34" x14ac:dyDescent="0.2">
      <c r="A156" s="22">
        <v>155</v>
      </c>
      <c r="B156" s="3">
        <v>31</v>
      </c>
      <c r="C156" s="3">
        <v>2022</v>
      </c>
      <c r="D156" s="3" t="s">
        <v>534</v>
      </c>
      <c r="E156" s="20">
        <v>44576</v>
      </c>
      <c r="F156" s="20">
        <v>44666</v>
      </c>
      <c r="G156" s="3">
        <v>108</v>
      </c>
      <c r="H156" s="3">
        <v>6</v>
      </c>
      <c r="I156" s="3">
        <v>5</v>
      </c>
      <c r="J156" s="3">
        <v>0</v>
      </c>
      <c r="K156" s="5" t="s">
        <v>1766</v>
      </c>
      <c r="L156" s="5" t="s">
        <v>1767</v>
      </c>
      <c r="M156" s="5" t="s">
        <v>1795</v>
      </c>
      <c r="N156" s="5" t="s">
        <v>1796</v>
      </c>
      <c r="O156" s="5" t="s">
        <v>1811</v>
      </c>
      <c r="P156" s="5" t="s">
        <v>1812</v>
      </c>
      <c r="Q156" s="3" t="s">
        <v>1728</v>
      </c>
      <c r="R156" s="3" t="s">
        <v>1729</v>
      </c>
      <c r="S156" s="3" t="s">
        <v>1730</v>
      </c>
      <c r="T156" s="1">
        <v>2022</v>
      </c>
      <c r="U156" s="1" t="s">
        <v>1768</v>
      </c>
      <c r="V156" s="1" t="s">
        <v>1769</v>
      </c>
      <c r="W156" s="1" t="s">
        <v>70</v>
      </c>
      <c r="X156" s="1" t="s">
        <v>1770</v>
      </c>
      <c r="Y156" s="1" t="s">
        <v>1771</v>
      </c>
      <c r="Z156" s="2" t="s">
        <v>1899</v>
      </c>
      <c r="AA156" s="2" t="s">
        <v>1902</v>
      </c>
      <c r="AB156" s="2" t="s">
        <v>1841</v>
      </c>
      <c r="AC156" s="2" t="s">
        <v>1566</v>
      </c>
      <c r="AD156" s="2" t="s">
        <v>60</v>
      </c>
      <c r="AE156" s="2" t="s">
        <v>1863</v>
      </c>
      <c r="AF156" s="2" t="s">
        <v>45</v>
      </c>
      <c r="AG156" s="2" t="s">
        <v>1562</v>
      </c>
    </row>
    <row r="157" spans="1:34" x14ac:dyDescent="0.2">
      <c r="A157" s="22">
        <v>156</v>
      </c>
      <c r="B157" s="3">
        <v>31</v>
      </c>
      <c r="C157" s="3">
        <v>2022</v>
      </c>
      <c r="D157" s="3" t="s">
        <v>534</v>
      </c>
      <c r="E157" s="20">
        <v>44576</v>
      </c>
      <c r="F157" s="20">
        <v>44666</v>
      </c>
      <c r="G157" s="3">
        <v>108</v>
      </c>
      <c r="H157" s="3">
        <v>6</v>
      </c>
      <c r="I157" s="3">
        <v>5</v>
      </c>
      <c r="J157" s="3">
        <v>0</v>
      </c>
      <c r="K157" s="5" t="s">
        <v>1772</v>
      </c>
      <c r="L157" s="5" t="s">
        <v>1773</v>
      </c>
      <c r="M157" s="5" t="s">
        <v>1797</v>
      </c>
      <c r="N157" s="5" t="s">
        <v>1798</v>
      </c>
      <c r="O157" s="5" t="s">
        <v>1813</v>
      </c>
      <c r="P157" s="5" t="s">
        <v>1814</v>
      </c>
      <c r="Q157" s="3" t="s">
        <v>1728</v>
      </c>
      <c r="R157" s="3" t="s">
        <v>1729</v>
      </c>
      <c r="S157" s="3" t="s">
        <v>1730</v>
      </c>
      <c r="T157" s="1">
        <v>2022</v>
      </c>
      <c r="U157" s="1" t="s">
        <v>1774</v>
      </c>
      <c r="V157" s="1" t="s">
        <v>1775</v>
      </c>
      <c r="W157" s="1" t="s">
        <v>1776</v>
      </c>
      <c r="X157" s="1" t="s">
        <v>1777</v>
      </c>
      <c r="Y157" s="1" t="s">
        <v>1778</v>
      </c>
      <c r="Z157" s="2" t="s">
        <v>15</v>
      </c>
      <c r="AA157" s="2" t="s">
        <v>1902</v>
      </c>
      <c r="AB157" s="2" t="s">
        <v>1841</v>
      </c>
      <c r="AC157" s="2" t="s">
        <v>14</v>
      </c>
      <c r="AD157" s="2" t="s">
        <v>15</v>
      </c>
      <c r="AE157" s="2" t="s">
        <v>37</v>
      </c>
      <c r="AF157" s="2" t="s">
        <v>46</v>
      </c>
      <c r="AG157" s="2" t="s">
        <v>1882</v>
      </c>
      <c r="AH157" s="53" t="s">
        <v>1834</v>
      </c>
    </row>
    <row r="158" spans="1:34" x14ac:dyDescent="0.2">
      <c r="A158" s="22">
        <v>157</v>
      </c>
      <c r="B158" s="3">
        <v>31</v>
      </c>
      <c r="C158" s="3">
        <v>2022</v>
      </c>
      <c r="D158" s="3" t="s">
        <v>534</v>
      </c>
      <c r="E158" s="20">
        <v>44576</v>
      </c>
      <c r="F158" s="20">
        <v>44666</v>
      </c>
      <c r="G158" s="3">
        <v>108</v>
      </c>
      <c r="H158" s="3">
        <v>6</v>
      </c>
      <c r="I158" s="3">
        <v>5</v>
      </c>
      <c r="J158" s="3">
        <v>0</v>
      </c>
      <c r="K158" s="5" t="s">
        <v>1779</v>
      </c>
      <c r="L158" s="5" t="s">
        <v>1780</v>
      </c>
      <c r="M158" s="5" t="s">
        <v>1799</v>
      </c>
      <c r="N158" s="5" t="s">
        <v>1800</v>
      </c>
      <c r="O158" s="5" t="s">
        <v>1815</v>
      </c>
      <c r="P158" s="5" t="s">
        <v>1816</v>
      </c>
      <c r="Q158" s="3" t="s">
        <v>1728</v>
      </c>
      <c r="R158" s="3" t="s">
        <v>1729</v>
      </c>
      <c r="S158" s="3" t="s">
        <v>1730</v>
      </c>
      <c r="T158" s="1">
        <v>2022</v>
      </c>
      <c r="U158" s="1" t="s">
        <v>1781</v>
      </c>
      <c r="V158" s="1" t="s">
        <v>1782</v>
      </c>
      <c r="W158" s="1" t="s">
        <v>403</v>
      </c>
      <c r="X158" s="1" t="s">
        <v>1783</v>
      </c>
      <c r="Y158" s="1" t="s">
        <v>1784</v>
      </c>
      <c r="Z158" s="2" t="s">
        <v>991</v>
      </c>
      <c r="AA158" s="2" t="s">
        <v>1902</v>
      </c>
      <c r="AB158" s="2" t="s">
        <v>1841</v>
      </c>
      <c r="AC158" s="2" t="s">
        <v>14</v>
      </c>
      <c r="AD158" s="2" t="s">
        <v>61</v>
      </c>
      <c r="AE158" s="2" t="s">
        <v>37</v>
      </c>
      <c r="AF158" s="2" t="s">
        <v>45</v>
      </c>
      <c r="AG158" s="2" t="s">
        <v>1562</v>
      </c>
      <c r="AH158" s="53" t="s">
        <v>1835</v>
      </c>
    </row>
    <row r="159" spans="1:34" ht="12.75" customHeight="1" x14ac:dyDescent="0.2">
      <c r="A159" s="22">
        <v>158</v>
      </c>
      <c r="B159" s="3">
        <v>32</v>
      </c>
      <c r="C159" s="3">
        <v>2023</v>
      </c>
      <c r="D159" s="3" t="s">
        <v>535</v>
      </c>
      <c r="E159" s="20">
        <v>44666</v>
      </c>
      <c r="F159" s="20">
        <v>44757</v>
      </c>
      <c r="G159" s="3">
        <v>128</v>
      </c>
      <c r="H159" s="3">
        <v>4</v>
      </c>
      <c r="I159" s="3">
        <v>2</v>
      </c>
      <c r="J159" s="3">
        <v>0</v>
      </c>
      <c r="K159" s="5" t="s">
        <v>2109</v>
      </c>
      <c r="L159" s="5" t="s">
        <v>2110</v>
      </c>
      <c r="M159" s="5" t="s">
        <v>2113</v>
      </c>
      <c r="N159" s="5" t="s">
        <v>2114</v>
      </c>
      <c r="O159" s="54" t="s">
        <v>2166</v>
      </c>
      <c r="P159" s="54" t="s">
        <v>2167</v>
      </c>
      <c r="Q159" s="3" t="s">
        <v>2168</v>
      </c>
      <c r="R159" s="3" t="s">
        <v>2169</v>
      </c>
      <c r="S159" s="3" t="s">
        <v>2170</v>
      </c>
      <c r="T159" s="1">
        <v>2022</v>
      </c>
      <c r="U159" s="1" t="s">
        <v>2117</v>
      </c>
      <c r="V159" s="1" t="s">
        <v>2118</v>
      </c>
      <c r="W159" s="1" t="s">
        <v>90</v>
      </c>
      <c r="X159" s="1" t="s">
        <v>2119</v>
      </c>
      <c r="Y159" s="1" t="s">
        <v>2120</v>
      </c>
      <c r="Z159" s="2" t="s">
        <v>1899</v>
      </c>
      <c r="AA159" s="2" t="s">
        <v>1902</v>
      </c>
      <c r="AB159" s="2" t="s">
        <v>1841</v>
      </c>
      <c r="AC159" s="2" t="s">
        <v>14</v>
      </c>
      <c r="AD159" s="2" t="s">
        <v>60</v>
      </c>
      <c r="AE159" s="2" t="s">
        <v>1863</v>
      </c>
      <c r="AF159" s="2" t="s">
        <v>46</v>
      </c>
      <c r="AG159" s="2" t="s">
        <v>1882</v>
      </c>
    </row>
    <row r="160" spans="1:34" ht="12.75" customHeight="1" x14ac:dyDescent="0.2">
      <c r="A160" s="22">
        <v>159</v>
      </c>
      <c r="B160" s="3">
        <v>32</v>
      </c>
      <c r="C160" s="3">
        <v>2023</v>
      </c>
      <c r="D160" s="3" t="s">
        <v>535</v>
      </c>
      <c r="E160" s="20">
        <v>44666</v>
      </c>
      <c r="F160" s="20">
        <v>44757</v>
      </c>
      <c r="G160" s="3">
        <v>128</v>
      </c>
      <c r="H160" s="3">
        <v>4</v>
      </c>
      <c r="I160" s="3">
        <v>2</v>
      </c>
      <c r="J160" s="3">
        <v>0</v>
      </c>
      <c r="K160" s="5" t="s">
        <v>2111</v>
      </c>
      <c r="L160" s="5" t="s">
        <v>2112</v>
      </c>
      <c r="M160" s="5" t="s">
        <v>2115</v>
      </c>
      <c r="N160" s="5" t="s">
        <v>2116</v>
      </c>
      <c r="O160" s="3" t="s">
        <v>2171</v>
      </c>
      <c r="P160" s="54" t="s">
        <v>2172</v>
      </c>
      <c r="Q160" s="3" t="s">
        <v>2168</v>
      </c>
      <c r="R160" s="3" t="s">
        <v>2169</v>
      </c>
      <c r="S160" s="3" t="s">
        <v>2170</v>
      </c>
      <c r="T160" s="1">
        <v>2022</v>
      </c>
      <c r="U160" s="1" t="s">
        <v>2121</v>
      </c>
      <c r="V160" s="1" t="s">
        <v>2122</v>
      </c>
      <c r="W160" s="1" t="s">
        <v>2123</v>
      </c>
      <c r="X160" s="1" t="s">
        <v>2124</v>
      </c>
      <c r="Y160" s="1" t="s">
        <v>2125</v>
      </c>
      <c r="Z160" s="2" t="s">
        <v>1899</v>
      </c>
      <c r="AA160" s="2" t="s">
        <v>1902</v>
      </c>
      <c r="AB160" s="2" t="s">
        <v>1842</v>
      </c>
      <c r="AC160" s="2" t="s">
        <v>1563</v>
      </c>
      <c r="AD160" s="2" t="s">
        <v>16</v>
      </c>
      <c r="AE160" s="2" t="s">
        <v>44</v>
      </c>
      <c r="AF160" s="2" t="s">
        <v>47</v>
      </c>
      <c r="AG160" s="2" t="s">
        <v>1878</v>
      </c>
    </row>
    <row r="161" spans="1:16" x14ac:dyDescent="0.2">
      <c r="A161" s="22">
        <v>160</v>
      </c>
      <c r="B161" s="3">
        <v>33</v>
      </c>
      <c r="C161" s="3">
        <v>2023</v>
      </c>
      <c r="D161" s="3" t="s">
        <v>532</v>
      </c>
      <c r="E161" s="20">
        <v>44757</v>
      </c>
      <c r="F161" s="20">
        <v>44849</v>
      </c>
      <c r="G161" s="3">
        <v>115</v>
      </c>
      <c r="H161" s="3">
        <v>6</v>
      </c>
      <c r="I161" s="3">
        <v>3</v>
      </c>
      <c r="J161" s="3">
        <v>0</v>
      </c>
    </row>
    <row r="162" spans="1:16" x14ac:dyDescent="0.2">
      <c r="A162" s="22">
        <v>161</v>
      </c>
      <c r="B162" s="3">
        <v>33</v>
      </c>
      <c r="C162" s="3">
        <v>2023</v>
      </c>
      <c r="D162" s="3" t="s">
        <v>532</v>
      </c>
      <c r="E162" s="20">
        <v>44757</v>
      </c>
      <c r="F162" s="20">
        <v>44849</v>
      </c>
      <c r="G162" s="3">
        <v>115</v>
      </c>
      <c r="H162" s="3">
        <v>6</v>
      </c>
      <c r="I162" s="3">
        <v>3</v>
      </c>
      <c r="J162" s="3">
        <v>0</v>
      </c>
    </row>
    <row r="163" spans="1:16" x14ac:dyDescent="0.2">
      <c r="A163" s="22">
        <v>162</v>
      </c>
      <c r="B163" s="3">
        <v>33</v>
      </c>
      <c r="C163" s="3">
        <v>2023</v>
      </c>
      <c r="D163" s="3" t="s">
        <v>532</v>
      </c>
      <c r="E163" s="20">
        <v>44757</v>
      </c>
      <c r="F163" s="20">
        <v>44849</v>
      </c>
      <c r="G163" s="3">
        <v>115</v>
      </c>
      <c r="H163" s="3">
        <v>6</v>
      </c>
      <c r="I163" s="3">
        <v>3</v>
      </c>
      <c r="J163" s="3">
        <v>0</v>
      </c>
    </row>
    <row r="164" spans="1:16" x14ac:dyDescent="0.2">
      <c r="A164" s="22"/>
      <c r="B164" s="85"/>
      <c r="E164" s="3"/>
      <c r="F164" s="3"/>
      <c r="K164" s="3"/>
    </row>
    <row r="165" spans="1:16" ht="12.75" customHeight="1" x14ac:dyDescent="0.2">
      <c r="A165" s="22"/>
      <c r="B165" s="85"/>
      <c r="E165" s="3"/>
      <c r="F165" s="3"/>
      <c r="K165" s="3"/>
      <c r="L165" s="54"/>
      <c r="N165" s="54"/>
      <c r="P165" s="54"/>
    </row>
    <row r="166" spans="1:16" x14ac:dyDescent="0.2">
      <c r="A166" s="22"/>
      <c r="B166" s="85"/>
      <c r="E166" s="3"/>
      <c r="F166" s="3"/>
      <c r="K166" s="3"/>
    </row>
    <row r="167" spans="1:16" x14ac:dyDescent="0.2">
      <c r="A167" s="22"/>
      <c r="B167" s="85"/>
      <c r="E167" s="3"/>
      <c r="F167" s="3"/>
      <c r="K167" s="3"/>
    </row>
    <row r="168" spans="1:16" x14ac:dyDescent="0.2">
      <c r="E168" s="3"/>
      <c r="F168" s="3"/>
      <c r="K168" s="3"/>
    </row>
    <row r="169" spans="1:16" x14ac:dyDescent="0.2">
      <c r="E169" s="3"/>
      <c r="F169" s="3"/>
      <c r="K169" s="3"/>
    </row>
    <row r="170" spans="1:16" x14ac:dyDescent="0.2">
      <c r="E170" s="3"/>
      <c r="F170" s="3"/>
      <c r="K170" s="3"/>
    </row>
    <row r="171" spans="1:16" x14ac:dyDescent="0.2">
      <c r="E171" s="3"/>
      <c r="F171" s="3"/>
      <c r="K171" s="3"/>
    </row>
  </sheetData>
  <autoFilter ref="A1:AM164" xr:uid="{00000000-0009-0000-0000-000000000000}"/>
  <phoneticPr fontId="22" type="noConversion"/>
  <dataValidations count="4">
    <dataValidation type="list" errorStyle="information" allowBlank="1" showInputMessage="1" showErrorMessage="1" sqref="AB2:AB10" xr:uid="{00000000-0002-0000-0000-000000000000}">
      <formula1>$C$12:$C$17</formula1>
    </dataValidation>
    <dataValidation type="list" errorStyle="information" allowBlank="1" showInputMessage="1" showErrorMessage="1" sqref="AB11" xr:uid="{00000000-0002-0000-0000-000001000000}">
      <formula1>$C$9:$C$11</formula1>
    </dataValidation>
    <dataValidation type="list" errorStyle="information" allowBlank="1" showInputMessage="1" showErrorMessage="1" sqref="AC6:AC189" xr:uid="{00000000-0002-0000-0000-000002000000}">
      <formula1>$C$18:$C$32</formula1>
    </dataValidation>
    <dataValidation type="list" errorStyle="information" allowBlank="1" showInputMessage="1" showErrorMessage="1" sqref="AG6:AG191" xr:uid="{00000000-0002-0000-0000-000003000000}">
      <formula1>$C$57:$C$78</formula1>
    </dataValidation>
  </dataValidations>
  <hyperlinks>
    <hyperlink ref="Y112" r:id="rId1" xr:uid="{00000000-0004-0000-0000-000000000000}"/>
    <hyperlink ref="Y137" r:id="rId2" xr:uid="{00000000-0004-0000-0000-000001000000}"/>
    <hyperlink ref="Y135" r:id="rId3" xr:uid="{00000000-0004-0000-0000-000002000000}"/>
    <hyperlink ref="Y134" r:id="rId4" xr:uid="{00000000-0004-0000-0000-000003000000}"/>
    <hyperlink ref="Y125" r:id="rId5" xr:uid="{00000000-0004-0000-0000-000004000000}"/>
    <hyperlink ref="Y119" r:id="rId6" xr:uid="{00000000-0004-0000-0000-000005000000}"/>
    <hyperlink ref="Q150" r:id="rId7" xr:uid="{00000000-0004-0000-0000-000006000000}"/>
    <hyperlink ref="Q151:Q153" r:id="rId8" display="https://www.bafu.admin.ch/dam/bafu/de/dokumente/elektrosmog/fachinfo-daten/newsletter_berenis_n30.pdf.download.pdf/Newsletter_BERENIS_Nr._30_-_DEUTSCH.pdf" xr:uid="{00000000-0004-0000-0000-000007000000}"/>
    <hyperlink ref="R150" r:id="rId9" xr:uid="{00000000-0004-0000-0000-000008000000}"/>
    <hyperlink ref="R151:R153" r:id="rId10" display="https://www.bafu.admin.ch/dam/bafu/fr/dokumente/elektrosmog/fachinfo-daten/newsletter_berenis_n30.pdf.download.pdf/newsletter_berenis_n30.pdf" xr:uid="{00000000-0004-0000-0000-000009000000}"/>
    <hyperlink ref="R144" r:id="rId11" xr:uid="{00000000-0004-0000-0000-00000A000000}"/>
    <hyperlink ref="S150" r:id="rId12" xr:uid="{00000000-0004-0000-0000-00000B000000}"/>
    <hyperlink ref="S151:S153" r:id="rId13" display="https://www.bafu.admin.ch/dam/bafu/en/dokumente/elektrosmog/fachinfo-daten/newsletter_berenis_n30.pdf.download.pdf/Newsletter_BERENIS_Nr._30_-_ENGLISH.pdf" xr:uid="{00000000-0004-0000-0000-00000C000000}"/>
    <hyperlink ref="Q154" r:id="rId14" xr:uid="{00000000-0004-0000-0000-00000D000000}"/>
    <hyperlink ref="Q155:Q158" r:id="rId15" display="https://www.bafu.admin.ch/dam/bafu/de/dokumente/elektrosmog/fachinfo-daten/newsletter-berenis-nr-32.pdf.download.pdf/Newsletter%20BERENIS%20Nr.%2031%20-%20DEUTSCH.pdf" xr:uid="{00000000-0004-0000-0000-00000E000000}"/>
    <hyperlink ref="R154" r:id="rId16" xr:uid="{00000000-0004-0000-0000-00000F000000}"/>
    <hyperlink ref="R155:R158" r:id="rId17" display="https://www.bafu.admin.ch/dam/bafu/fr/dokumente/elektrosmog/fachinfo-daten/newsletter-berenis-nr-32.pdf.download.pdf/Newsletter%20BERENIS%20Nr.%2031%20-%20FRANZOESISCH.pdf" xr:uid="{00000000-0004-0000-0000-000010000000}"/>
    <hyperlink ref="S154" r:id="rId18" xr:uid="{00000000-0004-0000-0000-000011000000}"/>
    <hyperlink ref="S155:S158" r:id="rId19" display="https://www.bafu.admin.ch/dam/bafu/en/dokumente/elektrosmog/fachinfo-daten/newsletter-berenis-nr-32.pdf.download.pdf/Newsletter%20BERENIS%20Nr.%2031%20-%20ENGLISH.pdf" xr:uid="{00000000-0004-0000-0000-000012000000}"/>
    <hyperlink ref="Y150" r:id="rId20" xr:uid="{00000000-0004-0000-0000-000013000000}"/>
    <hyperlink ref="Y151" r:id="rId21" xr:uid="{00000000-0004-0000-0000-000014000000}"/>
    <hyperlink ref="Y152" r:id="rId22" xr:uid="{00000000-0004-0000-0000-000015000000}"/>
    <hyperlink ref="Y153" r:id="rId23" xr:uid="{00000000-0004-0000-0000-000016000000}"/>
    <hyperlink ref="Y154" r:id="rId24" xr:uid="{00000000-0004-0000-0000-000017000000}"/>
    <hyperlink ref="Y155" r:id="rId25" xr:uid="{00000000-0004-0000-0000-000018000000}"/>
    <hyperlink ref="Y156" r:id="rId26" xr:uid="{00000000-0004-0000-0000-000019000000}"/>
    <hyperlink ref="Y157" r:id="rId27" xr:uid="{00000000-0004-0000-0000-00001A000000}"/>
    <hyperlink ref="Y158" r:id="rId28" xr:uid="{00000000-0004-0000-0000-00001B000000}"/>
    <hyperlink ref="Y60" r:id="rId29" xr:uid="{00000000-0004-0000-0000-00001C000000}"/>
    <hyperlink ref="Y61" r:id="rId30" xr:uid="{00000000-0004-0000-0000-00001D000000}"/>
    <hyperlink ref="Y140" r:id="rId31" xr:uid="{00000000-0004-0000-0000-00001E000000}"/>
    <hyperlink ref="Y141" r:id="rId32" xr:uid="{00000000-0004-0000-0000-00001F000000}"/>
  </hyperlinks>
  <pageMargins left="0.7" right="0.7" top="0.78740157499999996" bottom="0.78740157499999996" header="0.3" footer="0.3"/>
  <pageSetup paperSize="9" orientation="portrait" r:id="rId33"/>
  <legacyDrawing r:id="rId34"/>
  <extLst>
    <ext xmlns:x14="http://schemas.microsoft.com/office/spreadsheetml/2009/9/main" uri="{CCE6A557-97BC-4b89-ADB6-D9C93CAAB3DF}">
      <x14:dataValidations xmlns:xm="http://schemas.microsoft.com/office/excel/2006/main" count="8">
        <x14:dataValidation type="list" errorStyle="information" allowBlank="1" showInputMessage="1" showErrorMessage="1" xr:uid="{00000000-0002-0000-0000-000004000000}">
          <x14:formula1>
            <xm:f>Categories_dict!$C$12:$C$17</xm:f>
          </x14:formula1>
          <xm:sqref>AB12:AB204</xm:sqref>
        </x14:dataValidation>
        <x14:dataValidation type="list" errorStyle="information" allowBlank="1" showInputMessage="1" showErrorMessage="1" xr:uid="{00000000-0002-0000-0000-000005000000}">
          <x14:formula1>
            <xm:f>Categories_dict!$C$9:$C$11</xm:f>
          </x14:formula1>
          <xm:sqref>AA2:AA197</xm:sqref>
        </x14:dataValidation>
        <x14:dataValidation type="list" allowBlank="1" showInputMessage="1" showErrorMessage="1" xr:uid="{00000000-0002-0000-0000-000006000000}">
          <x14:formula1>
            <xm:f>Categories_dict!$C$54:$C$56</xm:f>
          </x14:formula1>
          <xm:sqref>AF2:AF193</xm:sqref>
        </x14:dataValidation>
        <x14:dataValidation type="list" errorStyle="information" allowBlank="1" showInputMessage="1" showErrorMessage="1" xr:uid="{00000000-0002-0000-0000-000007000000}">
          <x14:formula1>
            <xm:f>Categories_dict!$C$18:$C$32</xm:f>
          </x14:formula1>
          <xm:sqref>AC2:AC4</xm:sqref>
        </x14:dataValidation>
        <x14:dataValidation type="list" errorStyle="information" allowBlank="1" showInputMessage="1" showErrorMessage="1" xr:uid="{00000000-0002-0000-0000-000008000000}">
          <x14:formula1>
            <xm:f>Categories_dict!$C$57:$C$78</xm:f>
          </x14:formula1>
          <xm:sqref>AG2:AG4</xm:sqref>
        </x14:dataValidation>
        <x14:dataValidation type="list" errorStyle="information" allowBlank="1" showInputMessage="1" showErrorMessage="1" xr:uid="{00000000-0002-0000-0000-000009000000}">
          <x14:formula1>
            <xm:f>Categories_dict!$C$41:$C$53</xm:f>
          </x14:formula1>
          <xm:sqref>AE2:AE192</xm:sqref>
        </x14:dataValidation>
        <x14:dataValidation type="list" errorStyle="information" allowBlank="1" showInputMessage="1" showErrorMessage="1" xr:uid="{00000000-0002-0000-0000-00000A000000}">
          <x14:formula1>
            <xm:f>Categories_dict!$C$33:$C$40</xm:f>
          </x14:formula1>
          <xm:sqref>AD2:AD192</xm:sqref>
        </x14:dataValidation>
        <x14:dataValidation type="list" allowBlank="1" showInputMessage="1" showErrorMessage="1" xr:uid="{00000000-0002-0000-0000-00000B000000}">
          <x14:formula1>
            <xm:f>Categories_dict!$C$2:$C$8</xm:f>
          </x14:formula1>
          <xm:sqref>Z2:Z199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CFF"/>
  </sheetPr>
  <dimension ref="A1:E83"/>
  <sheetViews>
    <sheetView tabSelected="1" zoomScale="130" zoomScaleNormal="130" workbookViewId="0">
      <pane ySplit="1" topLeftCell="A62" activePane="bottomLeft" state="frozen"/>
      <selection pane="bottomLeft" activeCell="D84" sqref="D84"/>
    </sheetView>
  </sheetViews>
  <sheetFormatPr baseColWidth="10" defaultColWidth="11.42578125" defaultRowHeight="11.25" x14ac:dyDescent="0.2"/>
  <cols>
    <col min="1" max="1" width="7.85546875" style="26" customWidth="1"/>
    <col min="2" max="2" width="20.7109375" style="11" customWidth="1"/>
    <col min="3" max="3" width="42.85546875" style="11" customWidth="1"/>
    <col min="4" max="4" width="38.42578125" style="11" customWidth="1"/>
    <col min="5" max="5" width="45.85546875" style="11" customWidth="1"/>
    <col min="6" max="16384" width="11.42578125" style="11"/>
  </cols>
  <sheetData>
    <row r="1" spans="1:5" x14ac:dyDescent="0.2">
      <c r="A1" s="24" t="s">
        <v>1570</v>
      </c>
      <c r="B1" s="25" t="s">
        <v>1569</v>
      </c>
      <c r="C1" s="25" t="s">
        <v>1478</v>
      </c>
      <c r="D1" s="25" t="s">
        <v>1479</v>
      </c>
      <c r="E1" s="25" t="s">
        <v>1480</v>
      </c>
    </row>
    <row r="2" spans="1:5" x14ac:dyDescent="0.2">
      <c r="A2" s="34" t="s">
        <v>1644</v>
      </c>
      <c r="B2" s="35" t="s">
        <v>1645</v>
      </c>
      <c r="C2" s="36" t="s">
        <v>71</v>
      </c>
      <c r="D2" s="36" t="s">
        <v>1651</v>
      </c>
      <c r="E2" s="36" t="s">
        <v>2094</v>
      </c>
    </row>
    <row r="3" spans="1:5" x14ac:dyDescent="0.2">
      <c r="A3" s="34" t="s">
        <v>1646</v>
      </c>
      <c r="B3" s="35" t="s">
        <v>1645</v>
      </c>
      <c r="C3" s="36" t="s">
        <v>15</v>
      </c>
      <c r="D3" s="36" t="s">
        <v>1535</v>
      </c>
      <c r="E3" s="36" t="s">
        <v>1506</v>
      </c>
    </row>
    <row r="4" spans="1:5" x14ac:dyDescent="0.2">
      <c r="A4" s="34" t="s">
        <v>1647</v>
      </c>
      <c r="B4" s="35" t="s">
        <v>1645</v>
      </c>
      <c r="C4" s="36" t="s">
        <v>1899</v>
      </c>
      <c r="D4" s="36" t="s">
        <v>1900</v>
      </c>
      <c r="E4" s="36" t="s">
        <v>2095</v>
      </c>
    </row>
    <row r="5" spans="1:5" x14ac:dyDescent="0.2">
      <c r="A5" s="34" t="s">
        <v>1648</v>
      </c>
      <c r="B5" s="35" t="s">
        <v>1645</v>
      </c>
      <c r="C5" s="36" t="s">
        <v>991</v>
      </c>
      <c r="D5" s="36" t="s">
        <v>2104</v>
      </c>
      <c r="E5" s="36" t="s">
        <v>2101</v>
      </c>
    </row>
    <row r="6" spans="1:5" x14ac:dyDescent="0.2">
      <c r="A6" s="34" t="s">
        <v>1649</v>
      </c>
      <c r="B6" s="35" t="s">
        <v>1645</v>
      </c>
      <c r="C6" s="36" t="s">
        <v>531</v>
      </c>
      <c r="D6" s="36" t="s">
        <v>1652</v>
      </c>
      <c r="E6" s="36" t="s">
        <v>2096</v>
      </c>
    </row>
    <row r="7" spans="1:5" x14ac:dyDescent="0.2">
      <c r="A7" s="34" t="s">
        <v>1650</v>
      </c>
      <c r="B7" s="35" t="s">
        <v>1645</v>
      </c>
      <c r="C7" s="36" t="s">
        <v>530</v>
      </c>
      <c r="D7" s="36" t="s">
        <v>2093</v>
      </c>
      <c r="E7" s="36" t="s">
        <v>2102</v>
      </c>
    </row>
    <row r="8" spans="1:5" x14ac:dyDescent="0.2">
      <c r="A8" s="34" t="s">
        <v>2205</v>
      </c>
      <c r="B8" s="35" t="s">
        <v>1645</v>
      </c>
      <c r="C8" s="36" t="s">
        <v>1562</v>
      </c>
      <c r="D8" s="36" t="s">
        <v>1565</v>
      </c>
      <c r="E8" s="36" t="s">
        <v>1564</v>
      </c>
    </row>
    <row r="9" spans="1:5" x14ac:dyDescent="0.2">
      <c r="A9" s="29" t="s">
        <v>1640</v>
      </c>
      <c r="B9" s="30" t="s">
        <v>1641</v>
      </c>
      <c r="C9" s="55" t="s">
        <v>1901</v>
      </c>
      <c r="D9" s="55" t="s">
        <v>2090</v>
      </c>
      <c r="E9" s="55" t="s">
        <v>2091</v>
      </c>
    </row>
    <row r="10" spans="1:5" x14ac:dyDescent="0.2">
      <c r="A10" s="29" t="s">
        <v>1642</v>
      </c>
      <c r="B10" s="30" t="s">
        <v>1641</v>
      </c>
      <c r="C10" s="55" t="s">
        <v>1902</v>
      </c>
      <c r="D10" s="55" t="s">
        <v>1980</v>
      </c>
      <c r="E10" s="55" t="s">
        <v>2092</v>
      </c>
    </row>
    <row r="11" spans="1:5" x14ac:dyDescent="0.2">
      <c r="A11" s="29" t="s">
        <v>1643</v>
      </c>
      <c r="B11" s="30" t="s">
        <v>1641</v>
      </c>
      <c r="C11" s="55" t="s">
        <v>1563</v>
      </c>
      <c r="D11" s="55" t="s">
        <v>1565</v>
      </c>
      <c r="E11" s="55" t="s">
        <v>1564</v>
      </c>
    </row>
    <row r="12" spans="1:5" x14ac:dyDescent="0.2">
      <c r="A12" s="27" t="s">
        <v>1571</v>
      </c>
      <c r="B12" s="28" t="s">
        <v>20</v>
      </c>
      <c r="C12" s="28" t="s">
        <v>24</v>
      </c>
      <c r="D12" s="28" t="s">
        <v>1481</v>
      </c>
      <c r="E12" s="28" t="s">
        <v>1482</v>
      </c>
    </row>
    <row r="13" spans="1:5" x14ac:dyDescent="0.2">
      <c r="A13" s="27" t="s">
        <v>1572</v>
      </c>
      <c r="B13" s="28" t="s">
        <v>20</v>
      </c>
      <c r="C13" s="28" t="s">
        <v>1840</v>
      </c>
      <c r="D13" s="28" t="s">
        <v>1843</v>
      </c>
      <c r="E13" s="28" t="s">
        <v>1847</v>
      </c>
    </row>
    <row r="14" spans="1:5" x14ac:dyDescent="0.2">
      <c r="A14" s="27" t="s">
        <v>1573</v>
      </c>
      <c r="B14" s="28" t="s">
        <v>20</v>
      </c>
      <c r="C14" s="28" t="s">
        <v>1839</v>
      </c>
      <c r="D14" s="28" t="s">
        <v>1844</v>
      </c>
      <c r="E14" s="28" t="s">
        <v>1848</v>
      </c>
    </row>
    <row r="15" spans="1:5" x14ac:dyDescent="0.2">
      <c r="A15" s="27" t="s">
        <v>1574</v>
      </c>
      <c r="B15" s="28" t="s">
        <v>20</v>
      </c>
      <c r="C15" s="28" t="s">
        <v>1841</v>
      </c>
      <c r="D15" s="28" t="s">
        <v>1845</v>
      </c>
      <c r="E15" s="28" t="s">
        <v>1849</v>
      </c>
    </row>
    <row r="16" spans="1:5" x14ac:dyDescent="0.2">
      <c r="A16" s="27" t="s">
        <v>1575</v>
      </c>
      <c r="B16" s="28" t="s">
        <v>20</v>
      </c>
      <c r="C16" s="28" t="s">
        <v>1842</v>
      </c>
      <c r="D16" s="28" t="s">
        <v>1846</v>
      </c>
      <c r="E16" s="28" t="s">
        <v>1850</v>
      </c>
    </row>
    <row r="17" spans="1:5" x14ac:dyDescent="0.2">
      <c r="A17" s="27" t="s">
        <v>1576</v>
      </c>
      <c r="B17" s="28" t="s">
        <v>20</v>
      </c>
      <c r="C17" s="28" t="s">
        <v>59</v>
      </c>
      <c r="D17" s="28" t="s">
        <v>1483</v>
      </c>
      <c r="E17" s="28" t="s">
        <v>1484</v>
      </c>
    </row>
    <row r="18" spans="1:5" x14ac:dyDescent="0.2">
      <c r="A18" s="46" t="s">
        <v>1577</v>
      </c>
      <c r="B18" s="47" t="s">
        <v>21</v>
      </c>
      <c r="C18" s="47" t="s">
        <v>25</v>
      </c>
      <c r="D18" s="47" t="s">
        <v>1486</v>
      </c>
      <c r="E18" s="47" t="s">
        <v>1485</v>
      </c>
    </row>
    <row r="19" spans="1:5" x14ac:dyDescent="0.2">
      <c r="A19" s="46" t="s">
        <v>1578</v>
      </c>
      <c r="B19" s="47" t="s">
        <v>21</v>
      </c>
      <c r="C19" s="47" t="s">
        <v>34</v>
      </c>
      <c r="D19" s="47" t="s">
        <v>1487</v>
      </c>
      <c r="E19" s="47" t="s">
        <v>1488</v>
      </c>
    </row>
    <row r="20" spans="1:5" x14ac:dyDescent="0.2">
      <c r="A20" s="46" t="s">
        <v>1579</v>
      </c>
      <c r="B20" s="47" t="s">
        <v>21</v>
      </c>
      <c r="C20" s="47" t="s">
        <v>28</v>
      </c>
      <c r="D20" s="47" t="s">
        <v>1496</v>
      </c>
      <c r="E20" s="47" t="s">
        <v>1489</v>
      </c>
    </row>
    <row r="21" spans="1:5" x14ac:dyDescent="0.2">
      <c r="A21" s="46" t="s">
        <v>1580</v>
      </c>
      <c r="B21" s="47" t="s">
        <v>21</v>
      </c>
      <c r="C21" s="47" t="s">
        <v>29</v>
      </c>
      <c r="D21" s="47" t="s">
        <v>1497</v>
      </c>
      <c r="E21" s="47" t="s">
        <v>1498</v>
      </c>
    </row>
    <row r="22" spans="1:5" x14ac:dyDescent="0.2">
      <c r="A22" s="46" t="s">
        <v>1581</v>
      </c>
      <c r="B22" s="47" t="s">
        <v>21</v>
      </c>
      <c r="C22" s="47" t="s">
        <v>1891</v>
      </c>
      <c r="D22" s="47" t="s">
        <v>1892</v>
      </c>
      <c r="E22" s="47" t="s">
        <v>1893</v>
      </c>
    </row>
    <row r="23" spans="1:5" x14ac:dyDescent="0.2">
      <c r="A23" s="46" t="s">
        <v>1582</v>
      </c>
      <c r="B23" s="47" t="s">
        <v>21</v>
      </c>
      <c r="C23" s="47" t="s">
        <v>26</v>
      </c>
      <c r="D23" s="47" t="s">
        <v>1499</v>
      </c>
      <c r="E23" s="47" t="s">
        <v>1500</v>
      </c>
    </row>
    <row r="24" spans="1:5" x14ac:dyDescent="0.2">
      <c r="A24" s="46" t="s">
        <v>1583</v>
      </c>
      <c r="B24" s="47" t="s">
        <v>21</v>
      </c>
      <c r="C24" s="47" t="s">
        <v>30</v>
      </c>
      <c r="D24" s="47" t="s">
        <v>1531</v>
      </c>
      <c r="E24" s="47" t="s">
        <v>1501</v>
      </c>
    </row>
    <row r="25" spans="1:5" x14ac:dyDescent="0.2">
      <c r="A25" s="46" t="s">
        <v>1584</v>
      </c>
      <c r="B25" s="47" t="s">
        <v>21</v>
      </c>
      <c r="C25" s="47" t="s">
        <v>14</v>
      </c>
      <c r="D25" s="47" t="s">
        <v>1532</v>
      </c>
      <c r="E25" s="47" t="s">
        <v>1502</v>
      </c>
    </row>
    <row r="26" spans="1:5" x14ac:dyDescent="0.2">
      <c r="A26" s="46" t="s">
        <v>1585</v>
      </c>
      <c r="B26" s="47" t="s">
        <v>21</v>
      </c>
      <c r="C26" s="47" t="s">
        <v>31</v>
      </c>
      <c r="D26" s="47" t="s">
        <v>31</v>
      </c>
      <c r="E26" s="47" t="s">
        <v>1503</v>
      </c>
    </row>
    <row r="27" spans="1:5" x14ac:dyDescent="0.2">
      <c r="A27" s="46" t="s">
        <v>1586</v>
      </c>
      <c r="B27" s="47" t="s">
        <v>21</v>
      </c>
      <c r="C27" s="47" t="s">
        <v>32</v>
      </c>
      <c r="D27" s="47" t="s">
        <v>32</v>
      </c>
      <c r="E27" s="47" t="s">
        <v>32</v>
      </c>
    </row>
    <row r="28" spans="1:5" x14ac:dyDescent="0.2">
      <c r="A28" s="46" t="s">
        <v>1587</v>
      </c>
      <c r="B28" s="47" t="s">
        <v>21</v>
      </c>
      <c r="C28" s="47" t="s">
        <v>33</v>
      </c>
      <c r="D28" s="47" t="s">
        <v>1533</v>
      </c>
      <c r="E28" s="47" t="s">
        <v>1504</v>
      </c>
    </row>
    <row r="29" spans="1:5" x14ac:dyDescent="0.2">
      <c r="A29" s="46" t="s">
        <v>1588</v>
      </c>
      <c r="B29" s="47" t="s">
        <v>21</v>
      </c>
      <c r="C29" s="47" t="s">
        <v>27</v>
      </c>
      <c r="D29" s="47" t="s">
        <v>1534</v>
      </c>
      <c r="E29" s="47" t="s">
        <v>1505</v>
      </c>
    </row>
    <row r="30" spans="1:5" x14ac:dyDescent="0.2">
      <c r="A30" s="46" t="s">
        <v>1589</v>
      </c>
      <c r="B30" s="47" t="s">
        <v>21</v>
      </c>
      <c r="C30" s="47" t="s">
        <v>1866</v>
      </c>
      <c r="D30" s="47" t="s">
        <v>1867</v>
      </c>
      <c r="E30" s="47" t="s">
        <v>1866</v>
      </c>
    </row>
    <row r="31" spans="1:5" x14ac:dyDescent="0.2">
      <c r="A31" s="46" t="s">
        <v>1590</v>
      </c>
      <c r="B31" s="47" t="s">
        <v>21</v>
      </c>
      <c r="C31" s="47" t="s">
        <v>1563</v>
      </c>
      <c r="D31" s="47" t="s">
        <v>1565</v>
      </c>
      <c r="E31" s="47" t="s">
        <v>1564</v>
      </c>
    </row>
    <row r="32" spans="1:5" x14ac:dyDescent="0.2">
      <c r="A32" s="46" t="s">
        <v>1591</v>
      </c>
      <c r="B32" s="47" t="s">
        <v>21</v>
      </c>
      <c r="C32" s="47" t="s">
        <v>1566</v>
      </c>
      <c r="D32" s="47" t="s">
        <v>1568</v>
      </c>
      <c r="E32" s="47" t="s">
        <v>1567</v>
      </c>
    </row>
    <row r="33" spans="1:5" x14ac:dyDescent="0.2">
      <c r="A33" s="31" t="s">
        <v>1592</v>
      </c>
      <c r="B33" s="32" t="s">
        <v>22</v>
      </c>
      <c r="C33" s="32" t="s">
        <v>15</v>
      </c>
      <c r="D33" s="32" t="s">
        <v>1535</v>
      </c>
      <c r="E33" s="32" t="s">
        <v>1506</v>
      </c>
    </row>
    <row r="34" spans="1:5" x14ac:dyDescent="0.2">
      <c r="A34" s="31" t="s">
        <v>1593</v>
      </c>
      <c r="B34" s="32" t="s">
        <v>22</v>
      </c>
      <c r="C34" s="33" t="s">
        <v>1851</v>
      </c>
      <c r="D34" s="32" t="s">
        <v>1855</v>
      </c>
      <c r="E34" s="32" t="s">
        <v>1859</v>
      </c>
    </row>
    <row r="35" spans="1:5" x14ac:dyDescent="0.2">
      <c r="A35" s="31" t="s">
        <v>1594</v>
      </c>
      <c r="B35" s="32" t="s">
        <v>22</v>
      </c>
      <c r="C35" s="32" t="s">
        <v>61</v>
      </c>
      <c r="D35" s="32" t="s">
        <v>2105</v>
      </c>
      <c r="E35" s="32" t="s">
        <v>2103</v>
      </c>
    </row>
    <row r="36" spans="1:5" x14ac:dyDescent="0.2">
      <c r="A36" s="31" t="s">
        <v>1595</v>
      </c>
      <c r="B36" s="32" t="s">
        <v>22</v>
      </c>
      <c r="C36" s="33" t="s">
        <v>1854</v>
      </c>
      <c r="D36" s="32" t="s">
        <v>1856</v>
      </c>
      <c r="E36" s="32" t="s">
        <v>1858</v>
      </c>
    </row>
    <row r="37" spans="1:5" x14ac:dyDescent="0.2">
      <c r="A37" s="31" t="s">
        <v>1596</v>
      </c>
      <c r="B37" s="32" t="s">
        <v>22</v>
      </c>
      <c r="C37" s="33" t="s">
        <v>1852</v>
      </c>
      <c r="D37" s="32" t="s">
        <v>1853</v>
      </c>
      <c r="E37" s="32" t="s">
        <v>1857</v>
      </c>
    </row>
    <row r="38" spans="1:5" x14ac:dyDescent="0.2">
      <c r="A38" s="31" t="s">
        <v>1597</v>
      </c>
      <c r="B38" s="32" t="s">
        <v>22</v>
      </c>
      <c r="C38" s="32" t="s">
        <v>60</v>
      </c>
      <c r="D38" s="32" t="s">
        <v>1536</v>
      </c>
      <c r="E38" s="32" t="s">
        <v>1507</v>
      </c>
    </row>
    <row r="39" spans="1:5" x14ac:dyDescent="0.2">
      <c r="A39" s="31" t="s">
        <v>1598</v>
      </c>
      <c r="B39" s="32" t="s">
        <v>22</v>
      </c>
      <c r="C39" s="32" t="s">
        <v>16</v>
      </c>
      <c r="D39" s="32" t="s">
        <v>1537</v>
      </c>
      <c r="E39" s="32" t="s">
        <v>1508</v>
      </c>
    </row>
    <row r="40" spans="1:5" x14ac:dyDescent="0.2">
      <c r="A40" s="31" t="s">
        <v>2086</v>
      </c>
      <c r="B40" s="32" t="s">
        <v>22</v>
      </c>
      <c r="C40" s="32" t="s">
        <v>1562</v>
      </c>
      <c r="D40" s="32" t="s">
        <v>1565</v>
      </c>
      <c r="E40" s="32" t="s">
        <v>1564</v>
      </c>
    </row>
    <row r="41" spans="1:5" x14ac:dyDescent="0.2">
      <c r="A41" s="43" t="s">
        <v>1624</v>
      </c>
      <c r="B41" s="44" t="s">
        <v>75</v>
      </c>
      <c r="C41" s="45" t="s">
        <v>36</v>
      </c>
      <c r="D41" s="44" t="s">
        <v>1538</v>
      </c>
      <c r="E41" s="44" t="s">
        <v>1509</v>
      </c>
    </row>
    <row r="42" spans="1:5" x14ac:dyDescent="0.2">
      <c r="A42" s="43" t="s">
        <v>1625</v>
      </c>
      <c r="B42" s="44" t="s">
        <v>75</v>
      </c>
      <c r="C42" s="44" t="s">
        <v>38</v>
      </c>
      <c r="D42" s="44" t="s">
        <v>1539</v>
      </c>
      <c r="E42" s="44" t="s">
        <v>1510</v>
      </c>
    </row>
    <row r="43" spans="1:5" x14ac:dyDescent="0.2">
      <c r="A43" s="43" t="s">
        <v>1626</v>
      </c>
      <c r="B43" s="44" t="s">
        <v>75</v>
      </c>
      <c r="C43" s="44" t="s">
        <v>37</v>
      </c>
      <c r="D43" s="44" t="s">
        <v>1540</v>
      </c>
      <c r="E43" s="44" t="s">
        <v>1511</v>
      </c>
    </row>
    <row r="44" spans="1:5" x14ac:dyDescent="0.2">
      <c r="A44" s="43" t="s">
        <v>1627</v>
      </c>
      <c r="B44" s="44" t="s">
        <v>75</v>
      </c>
      <c r="C44" s="44" t="s">
        <v>35</v>
      </c>
      <c r="D44" s="44" t="s">
        <v>1541</v>
      </c>
      <c r="E44" s="44" t="s">
        <v>1512</v>
      </c>
    </row>
    <row r="45" spans="1:5" x14ac:dyDescent="0.2">
      <c r="A45" s="43" t="s">
        <v>1628</v>
      </c>
      <c r="B45" s="44" t="s">
        <v>75</v>
      </c>
      <c r="C45" s="44" t="s">
        <v>1894</v>
      </c>
      <c r="D45" s="44" t="s">
        <v>1895</v>
      </c>
      <c r="E45" s="44" t="s">
        <v>1896</v>
      </c>
    </row>
    <row r="46" spans="1:5" x14ac:dyDescent="0.2">
      <c r="A46" s="43" t="s">
        <v>1629</v>
      </c>
      <c r="B46" s="44" t="s">
        <v>75</v>
      </c>
      <c r="C46" s="44" t="s">
        <v>1860</v>
      </c>
      <c r="D46" s="44" t="s">
        <v>1861</v>
      </c>
      <c r="E46" s="44" t="s">
        <v>1862</v>
      </c>
    </row>
    <row r="47" spans="1:5" x14ac:dyDescent="0.2">
      <c r="A47" s="43" t="s">
        <v>1630</v>
      </c>
      <c r="B47" s="44" t="s">
        <v>75</v>
      </c>
      <c r="C47" s="45" t="s">
        <v>42</v>
      </c>
      <c r="D47" s="44" t="s">
        <v>1542</v>
      </c>
      <c r="E47" s="44" t="s">
        <v>1513</v>
      </c>
    </row>
    <row r="48" spans="1:5" x14ac:dyDescent="0.2">
      <c r="A48" s="43" t="s">
        <v>1631</v>
      </c>
      <c r="B48" s="44" t="s">
        <v>75</v>
      </c>
      <c r="C48" s="45" t="s">
        <v>43</v>
      </c>
      <c r="D48" s="44" t="s">
        <v>1543</v>
      </c>
      <c r="E48" s="44" t="s">
        <v>1514</v>
      </c>
    </row>
    <row r="49" spans="1:5" x14ac:dyDescent="0.2">
      <c r="A49" s="43" t="s">
        <v>1632</v>
      </c>
      <c r="B49" s="44" t="s">
        <v>75</v>
      </c>
      <c r="C49" s="45" t="s">
        <v>1863</v>
      </c>
      <c r="D49" s="44" t="s">
        <v>1865</v>
      </c>
      <c r="E49" s="44" t="s">
        <v>1864</v>
      </c>
    </row>
    <row r="50" spans="1:5" x14ac:dyDescent="0.2">
      <c r="A50" s="43" t="s">
        <v>1633</v>
      </c>
      <c r="B50" s="44" t="s">
        <v>75</v>
      </c>
      <c r="C50" s="45" t="s">
        <v>39</v>
      </c>
      <c r="D50" s="44" t="s">
        <v>1544</v>
      </c>
      <c r="E50" s="44" t="s">
        <v>1530</v>
      </c>
    </row>
    <row r="51" spans="1:5" x14ac:dyDescent="0.2">
      <c r="A51" s="43" t="s">
        <v>1634</v>
      </c>
      <c r="B51" s="44" t="s">
        <v>75</v>
      </c>
      <c r="C51" s="45" t="s">
        <v>40</v>
      </c>
      <c r="D51" s="44" t="s">
        <v>1546</v>
      </c>
      <c r="E51" s="44" t="s">
        <v>1545</v>
      </c>
    </row>
    <row r="52" spans="1:5" x14ac:dyDescent="0.2">
      <c r="A52" s="43" t="s">
        <v>1635</v>
      </c>
      <c r="B52" s="44" t="s">
        <v>75</v>
      </c>
      <c r="C52" s="45" t="s">
        <v>44</v>
      </c>
      <c r="D52" s="44" t="s">
        <v>1547</v>
      </c>
      <c r="E52" s="44" t="s">
        <v>1515</v>
      </c>
    </row>
    <row r="53" spans="1:5" x14ac:dyDescent="0.2">
      <c r="A53" s="43" t="s">
        <v>1636</v>
      </c>
      <c r="B53" s="44" t="s">
        <v>75</v>
      </c>
      <c r="C53" s="45" t="s">
        <v>41</v>
      </c>
      <c r="D53" s="44" t="s">
        <v>1548</v>
      </c>
      <c r="E53" s="44" t="s">
        <v>1516</v>
      </c>
    </row>
    <row r="54" spans="1:5" x14ac:dyDescent="0.2">
      <c r="A54" s="37" t="s">
        <v>1599</v>
      </c>
      <c r="B54" s="38" t="s">
        <v>23</v>
      </c>
      <c r="C54" s="39" t="s">
        <v>45</v>
      </c>
      <c r="D54" s="39" t="s">
        <v>1549</v>
      </c>
      <c r="E54" s="39" t="s">
        <v>1517</v>
      </c>
    </row>
    <row r="55" spans="1:5" x14ac:dyDescent="0.2">
      <c r="A55" s="37" t="s">
        <v>1600</v>
      </c>
      <c r="B55" s="38" t="s">
        <v>23</v>
      </c>
      <c r="C55" s="39" t="s">
        <v>46</v>
      </c>
      <c r="D55" s="39" t="s">
        <v>1550</v>
      </c>
      <c r="E55" s="39" t="s">
        <v>1518</v>
      </c>
    </row>
    <row r="56" spans="1:5" x14ac:dyDescent="0.2">
      <c r="A56" s="37" t="s">
        <v>1601</v>
      </c>
      <c r="B56" s="38" t="s">
        <v>23</v>
      </c>
      <c r="C56" s="39" t="s">
        <v>47</v>
      </c>
      <c r="D56" s="39" t="s">
        <v>1551</v>
      </c>
      <c r="E56" s="39" t="s">
        <v>1519</v>
      </c>
    </row>
    <row r="57" spans="1:5" x14ac:dyDescent="0.2">
      <c r="A57" s="40" t="s">
        <v>1602</v>
      </c>
      <c r="B57" s="41" t="s">
        <v>74</v>
      </c>
      <c r="C57" s="42" t="s">
        <v>48</v>
      </c>
      <c r="D57" s="41" t="s">
        <v>48</v>
      </c>
      <c r="E57" s="41" t="s">
        <v>1520</v>
      </c>
    </row>
    <row r="58" spans="1:5" x14ac:dyDescent="0.2">
      <c r="A58" s="40" t="s">
        <v>1603</v>
      </c>
      <c r="B58" s="41" t="s">
        <v>74</v>
      </c>
      <c r="C58" s="42" t="s">
        <v>49</v>
      </c>
      <c r="D58" s="41" t="s">
        <v>1552</v>
      </c>
      <c r="E58" s="41" t="s">
        <v>1521</v>
      </c>
    </row>
    <row r="59" spans="1:5" x14ac:dyDescent="0.2">
      <c r="A59" s="40" t="s">
        <v>1604</v>
      </c>
      <c r="B59" s="41" t="s">
        <v>74</v>
      </c>
      <c r="C59" s="42" t="s">
        <v>1905</v>
      </c>
      <c r="D59" s="41" t="s">
        <v>1906</v>
      </c>
      <c r="E59" s="41" t="s">
        <v>1907</v>
      </c>
    </row>
    <row r="60" spans="1:5" x14ac:dyDescent="0.2">
      <c r="A60" s="40" t="s">
        <v>1605</v>
      </c>
      <c r="B60" s="41" t="s">
        <v>74</v>
      </c>
      <c r="C60" s="42" t="s">
        <v>1851</v>
      </c>
      <c r="D60" s="41" t="s">
        <v>1869</v>
      </c>
      <c r="E60" s="41" t="s">
        <v>1859</v>
      </c>
    </row>
    <row r="61" spans="1:5" x14ac:dyDescent="0.2">
      <c r="A61" s="40" t="s">
        <v>1606</v>
      </c>
      <c r="B61" s="41" t="s">
        <v>74</v>
      </c>
      <c r="C61" s="42" t="s">
        <v>1872</v>
      </c>
      <c r="D61" s="41" t="s">
        <v>1868</v>
      </c>
      <c r="E61" s="41" t="s">
        <v>1874</v>
      </c>
    </row>
    <row r="62" spans="1:5" x14ac:dyDescent="0.2">
      <c r="A62" s="40" t="s">
        <v>1607</v>
      </c>
      <c r="B62" s="41" t="s">
        <v>74</v>
      </c>
      <c r="C62" s="42" t="s">
        <v>1871</v>
      </c>
      <c r="D62" s="41" t="s">
        <v>1870</v>
      </c>
      <c r="E62" s="41" t="s">
        <v>1873</v>
      </c>
    </row>
    <row r="63" spans="1:5" x14ac:dyDescent="0.2">
      <c r="A63" s="40" t="s">
        <v>1608</v>
      </c>
      <c r="B63" s="41" t="s">
        <v>74</v>
      </c>
      <c r="C63" s="42" t="s">
        <v>1875</v>
      </c>
      <c r="D63" s="41" t="s">
        <v>1876</v>
      </c>
      <c r="E63" s="41" t="s">
        <v>1877</v>
      </c>
    </row>
    <row r="64" spans="1:5" x14ac:dyDescent="0.2">
      <c r="A64" s="40" t="s">
        <v>1609</v>
      </c>
      <c r="B64" s="41" t="s">
        <v>74</v>
      </c>
      <c r="C64" s="42" t="s">
        <v>1878</v>
      </c>
      <c r="D64" s="41" t="s">
        <v>1879</v>
      </c>
      <c r="E64" s="41" t="s">
        <v>1880</v>
      </c>
    </row>
    <row r="65" spans="1:5" x14ac:dyDescent="0.2">
      <c r="A65" s="40" t="s">
        <v>1610</v>
      </c>
      <c r="B65" s="41" t="s">
        <v>74</v>
      </c>
      <c r="C65" s="42" t="s">
        <v>51</v>
      </c>
      <c r="D65" s="41" t="s">
        <v>1553</v>
      </c>
      <c r="E65" s="41" t="s">
        <v>1522</v>
      </c>
    </row>
    <row r="66" spans="1:5" x14ac:dyDescent="0.2">
      <c r="A66" s="40" t="s">
        <v>1611</v>
      </c>
      <c r="B66" s="41" t="s">
        <v>74</v>
      </c>
      <c r="C66" s="42" t="s">
        <v>1897</v>
      </c>
      <c r="D66" s="41" t="s">
        <v>1881</v>
      </c>
      <c r="E66" s="41" t="s">
        <v>1898</v>
      </c>
    </row>
    <row r="67" spans="1:5" x14ac:dyDescent="0.2">
      <c r="A67" s="40" t="s">
        <v>1612</v>
      </c>
      <c r="B67" s="41" t="s">
        <v>74</v>
      </c>
      <c r="C67" s="42" t="s">
        <v>52</v>
      </c>
      <c r="D67" s="41" t="s">
        <v>1523</v>
      </c>
      <c r="E67" s="41" t="s">
        <v>1523</v>
      </c>
    </row>
    <row r="68" spans="1:5" x14ac:dyDescent="0.2">
      <c r="A68" s="40" t="s">
        <v>1613</v>
      </c>
      <c r="B68" s="41" t="s">
        <v>74</v>
      </c>
      <c r="C68" s="42" t="s">
        <v>53</v>
      </c>
      <c r="D68" s="41" t="s">
        <v>1554</v>
      </c>
      <c r="E68" s="41" t="s">
        <v>1524</v>
      </c>
    </row>
    <row r="69" spans="1:5" x14ac:dyDescent="0.2">
      <c r="A69" s="40" t="s">
        <v>1614</v>
      </c>
      <c r="B69" s="41" t="s">
        <v>74</v>
      </c>
      <c r="C69" s="42" t="s">
        <v>54</v>
      </c>
      <c r="D69" s="41" t="s">
        <v>1555</v>
      </c>
      <c r="E69" s="41" t="s">
        <v>1525</v>
      </c>
    </row>
    <row r="70" spans="1:5" x14ac:dyDescent="0.2">
      <c r="A70" s="40" t="s">
        <v>1615</v>
      </c>
      <c r="B70" s="41" t="s">
        <v>74</v>
      </c>
      <c r="C70" s="42" t="s">
        <v>1885</v>
      </c>
      <c r="D70" s="41" t="s">
        <v>1886</v>
      </c>
      <c r="E70" s="41" t="s">
        <v>1887</v>
      </c>
    </row>
    <row r="71" spans="1:5" x14ac:dyDescent="0.2">
      <c r="A71" s="40" t="s">
        <v>1616</v>
      </c>
      <c r="B71" s="41" t="s">
        <v>74</v>
      </c>
      <c r="C71" s="42" t="s">
        <v>1903</v>
      </c>
      <c r="D71" s="41" t="s">
        <v>1911</v>
      </c>
      <c r="E71" s="41" t="s">
        <v>1908</v>
      </c>
    </row>
    <row r="72" spans="1:5" x14ac:dyDescent="0.2">
      <c r="A72" s="40" t="s">
        <v>1617</v>
      </c>
      <c r="B72" s="41" t="s">
        <v>74</v>
      </c>
      <c r="C72" s="42" t="s">
        <v>1904</v>
      </c>
      <c r="D72" s="41" t="s">
        <v>1910</v>
      </c>
      <c r="E72" s="41" t="s">
        <v>1909</v>
      </c>
    </row>
    <row r="73" spans="1:5" x14ac:dyDescent="0.2">
      <c r="A73" s="40" t="s">
        <v>1618</v>
      </c>
      <c r="B73" s="41" t="s">
        <v>74</v>
      </c>
      <c r="C73" s="42" t="s">
        <v>55</v>
      </c>
      <c r="D73" s="41" t="s">
        <v>480</v>
      </c>
      <c r="E73" s="41" t="s">
        <v>1526</v>
      </c>
    </row>
    <row r="74" spans="1:5" x14ac:dyDescent="0.2">
      <c r="A74" s="40" t="s">
        <v>1619</v>
      </c>
      <c r="B74" s="41" t="s">
        <v>74</v>
      </c>
      <c r="C74" s="42" t="s">
        <v>1888</v>
      </c>
      <c r="D74" s="41" t="s">
        <v>1889</v>
      </c>
      <c r="E74" s="41" t="s">
        <v>1890</v>
      </c>
    </row>
    <row r="75" spans="1:5" x14ac:dyDescent="0.2">
      <c r="A75" s="40" t="s">
        <v>1620</v>
      </c>
      <c r="B75" s="41" t="s">
        <v>74</v>
      </c>
      <c r="C75" s="42" t="s">
        <v>57</v>
      </c>
      <c r="D75" s="41" t="s">
        <v>1556</v>
      </c>
      <c r="E75" s="41" t="s">
        <v>1527</v>
      </c>
    </row>
    <row r="76" spans="1:5" x14ac:dyDescent="0.2">
      <c r="A76" s="40" t="s">
        <v>1621</v>
      </c>
      <c r="B76" s="41" t="s">
        <v>74</v>
      </c>
      <c r="C76" s="42" t="s">
        <v>1882</v>
      </c>
      <c r="D76" s="41" t="s">
        <v>1883</v>
      </c>
      <c r="E76" s="41" t="s">
        <v>1884</v>
      </c>
    </row>
    <row r="77" spans="1:5" x14ac:dyDescent="0.2">
      <c r="A77" s="40" t="s">
        <v>1622</v>
      </c>
      <c r="B77" s="41" t="s">
        <v>74</v>
      </c>
      <c r="C77" s="42" t="s">
        <v>56</v>
      </c>
      <c r="D77" s="41" t="s">
        <v>1557</v>
      </c>
      <c r="E77" s="41" t="s">
        <v>1528</v>
      </c>
    </row>
    <row r="78" spans="1:5" x14ac:dyDescent="0.2">
      <c r="A78" s="40" t="s">
        <v>1623</v>
      </c>
      <c r="B78" s="41" t="s">
        <v>74</v>
      </c>
      <c r="C78" s="42" t="s">
        <v>58</v>
      </c>
      <c r="D78" s="41" t="s">
        <v>1558</v>
      </c>
      <c r="E78" s="41" t="s">
        <v>1529</v>
      </c>
    </row>
    <row r="79" spans="1:5" x14ac:dyDescent="0.2">
      <c r="A79" s="40" t="s">
        <v>2206</v>
      </c>
      <c r="B79" s="41" t="s">
        <v>74</v>
      </c>
      <c r="C79" s="42" t="s">
        <v>1562</v>
      </c>
      <c r="D79" s="41" t="s">
        <v>1565</v>
      </c>
      <c r="E79" s="41" t="s">
        <v>1564</v>
      </c>
    </row>
    <row r="83" spans="3:3" x14ac:dyDescent="0.2">
      <c r="C83" s="11" t="s">
        <v>1700</v>
      </c>
    </row>
  </sheetData>
  <autoFilter ref="A1:E1" xr:uid="{00000000-0009-0000-0000-000001000000}"/>
  <sortState xmlns:xlrd2="http://schemas.microsoft.com/office/spreadsheetml/2017/richdata2" ref="A32:E52">
    <sortCondition ref="B32:B52"/>
  </sortState>
  <phoneticPr fontId="2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3"/>
  <sheetViews>
    <sheetView zoomScale="118" workbookViewId="0">
      <selection activeCell="H12" sqref="H12"/>
    </sheetView>
  </sheetViews>
  <sheetFormatPr baseColWidth="10" defaultColWidth="11.42578125" defaultRowHeight="12.75" x14ac:dyDescent="0.2"/>
  <cols>
    <col min="1" max="1" width="16.7109375" customWidth="1"/>
    <col min="2" max="4" width="16.140625" customWidth="1"/>
    <col min="5" max="7" width="5" bestFit="1" customWidth="1"/>
    <col min="8" max="8" width="35.42578125" style="65" customWidth="1"/>
    <col min="9" max="9" width="2.28515625" style="70" customWidth="1"/>
    <col min="10" max="10" width="8.7109375" bestFit="1" customWidth="1"/>
    <col min="11" max="11" width="5.42578125" bestFit="1" customWidth="1"/>
    <col min="12" max="12" width="11.28515625" bestFit="1" customWidth="1"/>
    <col min="13" max="13" width="12.42578125" bestFit="1" customWidth="1"/>
    <col min="14" max="14" width="14.42578125" bestFit="1" customWidth="1"/>
    <col min="15" max="15" width="6.85546875" bestFit="1" customWidth="1"/>
    <col min="16" max="16" width="5" bestFit="1" customWidth="1"/>
    <col min="17" max="17" width="209" bestFit="1" customWidth="1"/>
    <col min="18" max="18" width="5" bestFit="1" customWidth="1"/>
    <col min="19" max="19" width="11.42578125" bestFit="1" customWidth="1"/>
    <col min="20" max="20" width="5" bestFit="1" customWidth="1"/>
    <col min="21" max="21" width="11.42578125" bestFit="1" customWidth="1"/>
    <col min="22" max="22" width="5" bestFit="1" customWidth="1"/>
    <col min="23" max="23" width="11.42578125" bestFit="1" customWidth="1"/>
    <col min="24" max="24" width="5" bestFit="1" customWidth="1"/>
    <col min="25" max="25" width="11.42578125" bestFit="1" customWidth="1"/>
    <col min="26" max="26" width="5" bestFit="1" customWidth="1"/>
    <col min="28" max="28" width="6" bestFit="1" customWidth="1"/>
    <col min="29" max="29" width="12.42578125" bestFit="1" customWidth="1"/>
    <col min="30" max="30" width="6" bestFit="1" customWidth="1"/>
    <col min="31" max="31" width="12.42578125" bestFit="1" customWidth="1"/>
    <col min="32" max="32" width="6" bestFit="1" customWidth="1"/>
    <col min="33" max="33" width="3" bestFit="1" customWidth="1"/>
    <col min="34" max="34" width="12.42578125" bestFit="1" customWidth="1"/>
    <col min="35" max="35" width="6" bestFit="1" customWidth="1"/>
    <col min="36" max="36" width="2" bestFit="1" customWidth="1"/>
    <col min="37" max="37" width="12.42578125" bestFit="1" customWidth="1"/>
    <col min="38" max="38" width="6" bestFit="1" customWidth="1"/>
    <col min="39" max="39" width="12.42578125" bestFit="1" customWidth="1"/>
    <col min="40" max="40" width="6" bestFit="1" customWidth="1"/>
    <col min="41" max="41" width="12.42578125" bestFit="1" customWidth="1"/>
    <col min="42" max="42" width="6" bestFit="1" customWidth="1"/>
    <col min="43" max="43" width="12.42578125" bestFit="1" customWidth="1"/>
    <col min="44" max="44" width="6" bestFit="1" customWidth="1"/>
    <col min="45" max="45" width="12.42578125" bestFit="1" customWidth="1"/>
    <col min="46" max="46" width="6" bestFit="1" customWidth="1"/>
    <col min="47" max="47" width="12.42578125" bestFit="1" customWidth="1"/>
    <col min="48" max="48" width="6" bestFit="1" customWidth="1"/>
    <col min="49" max="49" width="12.42578125" bestFit="1" customWidth="1"/>
    <col min="50" max="50" width="6" bestFit="1" customWidth="1"/>
    <col min="51" max="51" width="12.42578125" bestFit="1" customWidth="1"/>
    <col min="52" max="52" width="6" bestFit="1" customWidth="1"/>
    <col min="53" max="53" width="12.42578125" bestFit="1" customWidth="1"/>
    <col min="54" max="54" width="6" bestFit="1" customWidth="1"/>
    <col min="55" max="55" width="3" bestFit="1" customWidth="1"/>
    <col min="56" max="56" width="12.42578125" bestFit="1" customWidth="1"/>
    <col min="57" max="57" width="8.28515625" bestFit="1" customWidth="1"/>
    <col min="58" max="58" width="14.7109375" bestFit="1" customWidth="1"/>
    <col min="59" max="59" width="15.7109375" bestFit="1" customWidth="1"/>
  </cols>
  <sheetData>
    <row r="1" spans="1:17" ht="15" x14ac:dyDescent="0.25">
      <c r="A1" s="57" t="s">
        <v>1983</v>
      </c>
      <c r="B1" t="s">
        <v>2006</v>
      </c>
      <c r="C1" t="s">
        <v>2007</v>
      </c>
      <c r="D1" t="s">
        <v>2008</v>
      </c>
      <c r="J1" s="71" t="s">
        <v>1986</v>
      </c>
      <c r="K1" s="71" t="s">
        <v>1987</v>
      </c>
      <c r="L1" s="71" t="s">
        <v>1988</v>
      </c>
      <c r="M1" s="71" t="s">
        <v>1989</v>
      </c>
      <c r="N1" s="71" t="s">
        <v>1990</v>
      </c>
      <c r="O1" s="71" t="s">
        <v>1991</v>
      </c>
      <c r="P1" s="71"/>
      <c r="Q1" s="72" t="s">
        <v>1992</v>
      </c>
    </row>
    <row r="2" spans="1:17" x14ac:dyDescent="0.2">
      <c r="A2" s="15">
        <v>2</v>
      </c>
      <c r="B2" s="56">
        <v>113</v>
      </c>
      <c r="C2" s="56">
        <v>8</v>
      </c>
      <c r="D2" s="56">
        <v>5</v>
      </c>
      <c r="E2">
        <f>B2-L4</f>
        <v>0</v>
      </c>
      <c r="F2">
        <f t="shared" ref="F2:G2" si="0">C2-M4</f>
        <v>0</v>
      </c>
      <c r="G2">
        <f t="shared" si="0"/>
        <v>0</v>
      </c>
      <c r="J2">
        <v>1</v>
      </c>
      <c r="K2">
        <v>2014</v>
      </c>
      <c r="L2">
        <v>144</v>
      </c>
      <c r="M2">
        <v>0</v>
      </c>
      <c r="N2">
        <v>0</v>
      </c>
      <c r="Q2" s="62"/>
    </row>
    <row r="3" spans="1:17" x14ac:dyDescent="0.2">
      <c r="A3" s="15">
        <v>3</v>
      </c>
      <c r="B3" s="56">
        <v>109</v>
      </c>
      <c r="C3" s="56">
        <v>14</v>
      </c>
      <c r="D3" s="56">
        <v>9</v>
      </c>
      <c r="E3">
        <f t="shared" ref="E3:E33" si="1">B3-L5</f>
        <v>0</v>
      </c>
      <c r="F3">
        <f t="shared" ref="F3:F33" si="2">C3-M5</f>
        <v>0</v>
      </c>
      <c r="G3">
        <f t="shared" ref="G3:G33" si="3">D3-N5</f>
        <v>0</v>
      </c>
      <c r="J3" s="60">
        <v>2</v>
      </c>
      <c r="K3" s="60">
        <v>2014</v>
      </c>
      <c r="L3" s="60">
        <v>90</v>
      </c>
      <c r="M3" s="60">
        <v>18</v>
      </c>
      <c r="N3" s="60">
        <v>7</v>
      </c>
      <c r="O3" s="60">
        <v>1</v>
      </c>
      <c r="Q3" s="62"/>
    </row>
    <row r="4" spans="1:17" x14ac:dyDescent="0.2">
      <c r="A4" s="15">
        <v>4</v>
      </c>
      <c r="B4" s="56">
        <v>94</v>
      </c>
      <c r="C4" s="56">
        <v>12</v>
      </c>
      <c r="D4" s="56">
        <v>4</v>
      </c>
      <c r="E4">
        <f t="shared" si="1"/>
        <v>0</v>
      </c>
      <c r="F4">
        <f t="shared" si="2"/>
        <v>0</v>
      </c>
      <c r="G4">
        <f t="shared" si="3"/>
        <v>0</v>
      </c>
      <c r="J4">
        <v>1</v>
      </c>
      <c r="K4">
        <v>2015</v>
      </c>
      <c r="L4">
        <v>113</v>
      </c>
      <c r="M4">
        <v>8</v>
      </c>
      <c r="N4">
        <v>5</v>
      </c>
      <c r="O4">
        <v>2</v>
      </c>
      <c r="Q4" s="62"/>
    </row>
    <row r="5" spans="1:17" x14ac:dyDescent="0.2">
      <c r="A5" s="15">
        <v>5</v>
      </c>
      <c r="B5" s="56">
        <v>89</v>
      </c>
      <c r="C5" s="56">
        <v>14</v>
      </c>
      <c r="D5" s="56">
        <v>4</v>
      </c>
      <c r="E5">
        <f t="shared" si="1"/>
        <v>0</v>
      </c>
      <c r="F5">
        <f t="shared" si="2"/>
        <v>0</v>
      </c>
      <c r="G5">
        <f t="shared" si="3"/>
        <v>0</v>
      </c>
      <c r="J5">
        <v>2</v>
      </c>
      <c r="K5">
        <v>2015</v>
      </c>
      <c r="L5">
        <v>109</v>
      </c>
      <c r="M5">
        <v>14</v>
      </c>
      <c r="N5">
        <v>9</v>
      </c>
      <c r="O5">
        <v>3</v>
      </c>
      <c r="Q5" s="62"/>
    </row>
    <row r="6" spans="1:17" x14ac:dyDescent="0.2">
      <c r="A6" s="58">
        <v>6</v>
      </c>
      <c r="B6" s="59">
        <v>129</v>
      </c>
      <c r="C6" s="59">
        <v>11</v>
      </c>
      <c r="D6" s="82">
        <v>6</v>
      </c>
      <c r="E6" s="60">
        <f t="shared" si="1"/>
        <v>0</v>
      </c>
      <c r="F6" s="60">
        <f t="shared" si="2"/>
        <v>0</v>
      </c>
      <c r="G6" s="60">
        <f t="shared" si="3"/>
        <v>-1</v>
      </c>
      <c r="H6" s="69" t="s">
        <v>2107</v>
      </c>
      <c r="J6">
        <v>3</v>
      </c>
      <c r="K6">
        <v>2015</v>
      </c>
      <c r="L6">
        <v>94</v>
      </c>
      <c r="M6">
        <v>12</v>
      </c>
      <c r="N6">
        <v>4</v>
      </c>
      <c r="O6">
        <v>4</v>
      </c>
      <c r="Q6" s="62"/>
    </row>
    <row r="7" spans="1:17" x14ac:dyDescent="0.2">
      <c r="A7" s="58">
        <v>7</v>
      </c>
      <c r="B7" s="86">
        <v>100</v>
      </c>
      <c r="C7" s="82">
        <v>11</v>
      </c>
      <c r="D7" s="59">
        <v>5</v>
      </c>
      <c r="E7" s="60">
        <f t="shared" si="1"/>
        <v>-1</v>
      </c>
      <c r="F7" s="60">
        <f t="shared" si="2"/>
        <v>-2</v>
      </c>
      <c r="G7" s="60">
        <f t="shared" si="3"/>
        <v>0</v>
      </c>
      <c r="H7" s="69" t="s">
        <v>2108</v>
      </c>
      <c r="J7">
        <v>4</v>
      </c>
      <c r="K7">
        <v>2015</v>
      </c>
      <c r="L7">
        <v>89</v>
      </c>
      <c r="M7">
        <v>14</v>
      </c>
      <c r="N7">
        <v>4</v>
      </c>
      <c r="O7">
        <v>5</v>
      </c>
      <c r="Q7" s="62"/>
    </row>
    <row r="8" spans="1:17" x14ac:dyDescent="0.2">
      <c r="A8" s="15">
        <v>8</v>
      </c>
      <c r="B8" s="56">
        <v>129</v>
      </c>
      <c r="C8" s="56">
        <v>9</v>
      </c>
      <c r="D8" s="56">
        <v>4</v>
      </c>
      <c r="E8">
        <f t="shared" si="1"/>
        <v>0</v>
      </c>
      <c r="F8">
        <f t="shared" si="2"/>
        <v>0</v>
      </c>
      <c r="G8">
        <f t="shared" si="3"/>
        <v>0</v>
      </c>
      <c r="J8" s="60">
        <v>1</v>
      </c>
      <c r="K8" s="60">
        <v>2016</v>
      </c>
      <c r="L8" s="60">
        <v>129</v>
      </c>
      <c r="M8" s="60">
        <v>11</v>
      </c>
      <c r="N8" s="60">
        <v>7</v>
      </c>
      <c r="O8" s="60">
        <v>6</v>
      </c>
      <c r="Q8" s="62" t="s">
        <v>1993</v>
      </c>
    </row>
    <row r="9" spans="1:17" x14ac:dyDescent="0.2">
      <c r="A9" s="15">
        <v>9</v>
      </c>
      <c r="B9" s="56">
        <v>79</v>
      </c>
      <c r="C9" s="56">
        <v>8</v>
      </c>
      <c r="D9" s="56">
        <v>4</v>
      </c>
      <c r="E9">
        <f t="shared" si="1"/>
        <v>0</v>
      </c>
      <c r="F9">
        <f t="shared" si="2"/>
        <v>0</v>
      </c>
      <c r="G9">
        <f t="shared" si="3"/>
        <v>0</v>
      </c>
      <c r="J9" s="60">
        <v>2</v>
      </c>
      <c r="K9" s="60">
        <v>2016</v>
      </c>
      <c r="L9" s="60">
        <v>101</v>
      </c>
      <c r="M9" s="60">
        <v>13</v>
      </c>
      <c r="N9" s="60">
        <v>5</v>
      </c>
      <c r="O9" s="60">
        <v>7</v>
      </c>
      <c r="Q9" s="62" t="s">
        <v>1994</v>
      </c>
    </row>
    <row r="10" spans="1:17" x14ac:dyDescent="0.2">
      <c r="A10" s="15">
        <v>10</v>
      </c>
      <c r="B10" s="56">
        <v>83</v>
      </c>
      <c r="C10" s="56">
        <v>15</v>
      </c>
      <c r="D10" s="56">
        <v>6</v>
      </c>
      <c r="E10">
        <f t="shared" si="1"/>
        <v>0</v>
      </c>
      <c r="F10">
        <f t="shared" si="2"/>
        <v>0</v>
      </c>
      <c r="G10">
        <f t="shared" si="3"/>
        <v>0</v>
      </c>
      <c r="J10">
        <v>3</v>
      </c>
      <c r="K10">
        <v>2016</v>
      </c>
      <c r="L10">
        <v>129</v>
      </c>
      <c r="M10">
        <v>9</v>
      </c>
      <c r="N10">
        <v>4</v>
      </c>
      <c r="O10">
        <v>8</v>
      </c>
      <c r="Q10" s="62"/>
    </row>
    <row r="11" spans="1:17" x14ac:dyDescent="0.2">
      <c r="A11" s="15">
        <v>11</v>
      </c>
      <c r="B11" s="56">
        <v>106</v>
      </c>
      <c r="C11" s="56">
        <v>12</v>
      </c>
      <c r="D11" s="56">
        <v>6</v>
      </c>
      <c r="E11">
        <f t="shared" si="1"/>
        <v>0</v>
      </c>
      <c r="F11">
        <f t="shared" si="2"/>
        <v>0</v>
      </c>
      <c r="G11">
        <f t="shared" si="3"/>
        <v>0</v>
      </c>
      <c r="J11">
        <v>4</v>
      </c>
      <c r="K11">
        <v>2016</v>
      </c>
      <c r="L11">
        <v>79</v>
      </c>
      <c r="M11">
        <v>8</v>
      </c>
      <c r="N11">
        <v>4</v>
      </c>
      <c r="O11">
        <v>9</v>
      </c>
      <c r="Q11" s="62"/>
    </row>
    <row r="12" spans="1:17" x14ac:dyDescent="0.2">
      <c r="A12" s="15">
        <v>12</v>
      </c>
      <c r="B12" s="56">
        <v>62</v>
      </c>
      <c r="C12" s="56">
        <v>7</v>
      </c>
      <c r="D12" s="56">
        <v>4</v>
      </c>
      <c r="E12">
        <f t="shared" si="1"/>
        <v>0</v>
      </c>
      <c r="F12">
        <f t="shared" si="2"/>
        <v>0</v>
      </c>
      <c r="G12">
        <f t="shared" si="3"/>
        <v>0</v>
      </c>
      <c r="J12">
        <v>1</v>
      </c>
      <c r="K12">
        <v>2017</v>
      </c>
      <c r="L12">
        <v>83</v>
      </c>
      <c r="M12">
        <v>15</v>
      </c>
      <c r="N12">
        <v>6</v>
      </c>
      <c r="O12">
        <v>10</v>
      </c>
      <c r="Q12" s="62"/>
    </row>
    <row r="13" spans="1:17" x14ac:dyDescent="0.2">
      <c r="A13" s="66">
        <v>13</v>
      </c>
      <c r="B13" s="67">
        <v>95</v>
      </c>
      <c r="C13" s="67">
        <v>11</v>
      </c>
      <c r="D13" s="67">
        <v>4</v>
      </c>
      <c r="E13" s="68">
        <f t="shared" si="1"/>
        <v>0</v>
      </c>
      <c r="F13" s="68">
        <f t="shared" si="2"/>
        <v>0</v>
      </c>
      <c r="G13" s="68">
        <f t="shared" si="3"/>
        <v>0</v>
      </c>
      <c r="J13">
        <v>2</v>
      </c>
      <c r="K13">
        <v>2017</v>
      </c>
      <c r="L13">
        <v>106</v>
      </c>
      <c r="M13">
        <v>12</v>
      </c>
      <c r="N13">
        <v>6</v>
      </c>
      <c r="O13">
        <v>11</v>
      </c>
      <c r="Q13" s="62"/>
    </row>
    <row r="14" spans="1:17" x14ac:dyDescent="0.2">
      <c r="A14" s="15">
        <v>14</v>
      </c>
      <c r="B14" s="56">
        <v>65</v>
      </c>
      <c r="C14" s="56">
        <v>8</v>
      </c>
      <c r="D14" s="56">
        <v>3</v>
      </c>
      <c r="E14">
        <f t="shared" si="1"/>
        <v>0</v>
      </c>
      <c r="F14">
        <f t="shared" si="2"/>
        <v>0</v>
      </c>
      <c r="G14">
        <f t="shared" si="3"/>
        <v>0</v>
      </c>
      <c r="J14">
        <v>3</v>
      </c>
      <c r="K14">
        <v>2017</v>
      </c>
      <c r="L14">
        <v>62</v>
      </c>
      <c r="M14">
        <v>7</v>
      </c>
      <c r="N14">
        <v>4</v>
      </c>
      <c r="O14">
        <v>12</v>
      </c>
      <c r="Q14" s="62"/>
    </row>
    <row r="15" spans="1:17" x14ac:dyDescent="0.2">
      <c r="A15" s="15">
        <v>15</v>
      </c>
      <c r="B15" s="56">
        <v>92</v>
      </c>
      <c r="C15" s="56">
        <v>7</v>
      </c>
      <c r="D15" s="56">
        <v>4</v>
      </c>
      <c r="E15">
        <f t="shared" si="1"/>
        <v>0</v>
      </c>
      <c r="F15">
        <f t="shared" si="2"/>
        <v>0</v>
      </c>
      <c r="G15">
        <f t="shared" si="3"/>
        <v>0</v>
      </c>
      <c r="J15" s="60">
        <v>4</v>
      </c>
      <c r="K15" s="60">
        <v>2017</v>
      </c>
      <c r="L15" s="60">
        <v>95</v>
      </c>
      <c r="M15" s="60">
        <v>11</v>
      </c>
      <c r="N15" s="60">
        <v>4</v>
      </c>
      <c r="O15" s="60">
        <v>13</v>
      </c>
      <c r="Q15" s="62"/>
    </row>
    <row r="16" spans="1:17" x14ac:dyDescent="0.2">
      <c r="A16" s="15">
        <v>16</v>
      </c>
      <c r="B16" s="56">
        <v>57</v>
      </c>
      <c r="C16" s="56">
        <v>8</v>
      </c>
      <c r="D16" s="56">
        <v>3</v>
      </c>
      <c r="E16">
        <f t="shared" si="1"/>
        <v>0</v>
      </c>
      <c r="F16">
        <f t="shared" si="2"/>
        <v>0</v>
      </c>
      <c r="G16">
        <f t="shared" si="3"/>
        <v>0</v>
      </c>
      <c r="J16">
        <v>1</v>
      </c>
      <c r="K16">
        <v>2018</v>
      </c>
      <c r="L16">
        <v>65</v>
      </c>
      <c r="M16">
        <v>8</v>
      </c>
      <c r="N16">
        <v>3</v>
      </c>
      <c r="O16">
        <v>14</v>
      </c>
      <c r="Q16" s="62"/>
    </row>
    <row r="17" spans="1:17" x14ac:dyDescent="0.2">
      <c r="A17" s="58">
        <v>17</v>
      </c>
      <c r="B17" s="59">
        <v>120</v>
      </c>
      <c r="C17" s="59">
        <v>14</v>
      </c>
      <c r="D17" s="82">
        <v>5</v>
      </c>
      <c r="E17" s="60">
        <f t="shared" si="1"/>
        <v>0</v>
      </c>
      <c r="F17" s="60">
        <f t="shared" si="2"/>
        <v>0</v>
      </c>
      <c r="G17" s="60">
        <f t="shared" si="3"/>
        <v>1</v>
      </c>
      <c r="H17" s="69" t="s">
        <v>2107</v>
      </c>
      <c r="J17">
        <v>2</v>
      </c>
      <c r="K17">
        <v>2018</v>
      </c>
      <c r="L17">
        <v>92</v>
      </c>
      <c r="M17">
        <v>7</v>
      </c>
      <c r="N17">
        <v>4</v>
      </c>
      <c r="O17">
        <v>15</v>
      </c>
      <c r="Q17" s="62" t="s">
        <v>1995</v>
      </c>
    </row>
    <row r="18" spans="1:17" x14ac:dyDescent="0.2">
      <c r="A18" s="15">
        <v>18</v>
      </c>
      <c r="B18" s="56">
        <v>83</v>
      </c>
      <c r="C18" s="56">
        <v>9</v>
      </c>
      <c r="D18" s="56">
        <v>5</v>
      </c>
      <c r="E18">
        <f t="shared" si="1"/>
        <v>0</v>
      </c>
      <c r="F18">
        <f t="shared" si="2"/>
        <v>0</v>
      </c>
      <c r="G18">
        <f t="shared" si="3"/>
        <v>0</v>
      </c>
      <c r="J18">
        <v>3</v>
      </c>
      <c r="K18">
        <v>2018</v>
      </c>
      <c r="L18">
        <v>57</v>
      </c>
      <c r="M18">
        <v>8</v>
      </c>
      <c r="N18">
        <v>3</v>
      </c>
      <c r="O18">
        <v>16</v>
      </c>
      <c r="Q18" s="63"/>
    </row>
    <row r="19" spans="1:17" x14ac:dyDescent="0.2">
      <c r="A19" s="15">
        <v>19</v>
      </c>
      <c r="B19" s="56">
        <v>112</v>
      </c>
      <c r="C19" s="56">
        <v>9</v>
      </c>
      <c r="D19" s="56">
        <v>4</v>
      </c>
      <c r="E19">
        <f t="shared" si="1"/>
        <v>0</v>
      </c>
      <c r="F19">
        <f t="shared" si="2"/>
        <v>0</v>
      </c>
      <c r="G19">
        <f t="shared" si="3"/>
        <v>0</v>
      </c>
      <c r="J19" s="60">
        <v>4</v>
      </c>
      <c r="K19" s="60">
        <v>2018</v>
      </c>
      <c r="L19" s="60">
        <v>120</v>
      </c>
      <c r="M19" s="60">
        <v>14</v>
      </c>
      <c r="N19" s="60">
        <v>4</v>
      </c>
      <c r="O19" s="60">
        <v>17</v>
      </c>
      <c r="Q19" s="63"/>
    </row>
    <row r="20" spans="1:17" x14ac:dyDescent="0.2">
      <c r="A20" s="15">
        <v>20</v>
      </c>
      <c r="B20" s="56">
        <v>103</v>
      </c>
      <c r="C20" s="56">
        <v>9</v>
      </c>
      <c r="D20" s="56">
        <v>6</v>
      </c>
      <c r="E20">
        <f t="shared" si="1"/>
        <v>0</v>
      </c>
      <c r="F20">
        <f t="shared" si="2"/>
        <v>0</v>
      </c>
      <c r="G20">
        <f t="shared" si="3"/>
        <v>0</v>
      </c>
      <c r="J20">
        <v>1</v>
      </c>
      <c r="K20">
        <v>2019</v>
      </c>
      <c r="L20">
        <v>83</v>
      </c>
      <c r="M20">
        <v>9</v>
      </c>
      <c r="N20">
        <v>5</v>
      </c>
      <c r="O20">
        <v>18</v>
      </c>
      <c r="Q20" s="63"/>
    </row>
    <row r="21" spans="1:17" x14ac:dyDescent="0.2">
      <c r="A21" s="15">
        <v>21</v>
      </c>
      <c r="B21" s="56">
        <v>84</v>
      </c>
      <c r="C21" s="56">
        <v>8</v>
      </c>
      <c r="D21" s="56">
        <v>3</v>
      </c>
      <c r="E21">
        <f t="shared" si="1"/>
        <v>0</v>
      </c>
      <c r="F21">
        <f t="shared" si="2"/>
        <v>0</v>
      </c>
      <c r="G21">
        <f t="shared" si="3"/>
        <v>0</v>
      </c>
      <c r="J21">
        <v>2</v>
      </c>
      <c r="K21">
        <v>2019</v>
      </c>
      <c r="L21">
        <v>112</v>
      </c>
      <c r="M21">
        <v>9</v>
      </c>
      <c r="N21">
        <v>4</v>
      </c>
      <c r="O21">
        <v>19</v>
      </c>
      <c r="Q21" s="63"/>
    </row>
    <row r="22" spans="1:17" x14ac:dyDescent="0.2">
      <c r="A22" s="15">
        <v>22</v>
      </c>
      <c r="B22" s="56">
        <v>71</v>
      </c>
      <c r="C22" s="56">
        <v>10</v>
      </c>
      <c r="D22" s="56">
        <v>5</v>
      </c>
      <c r="E22">
        <f t="shared" si="1"/>
        <v>0</v>
      </c>
      <c r="F22">
        <f t="shared" si="2"/>
        <v>0</v>
      </c>
      <c r="G22">
        <f t="shared" si="3"/>
        <v>0</v>
      </c>
      <c r="J22">
        <v>3</v>
      </c>
      <c r="K22">
        <v>2019</v>
      </c>
      <c r="L22">
        <v>103</v>
      </c>
      <c r="M22">
        <v>9</v>
      </c>
      <c r="N22">
        <v>6</v>
      </c>
      <c r="O22">
        <v>20</v>
      </c>
      <c r="Q22" s="63"/>
    </row>
    <row r="23" spans="1:17" x14ac:dyDescent="0.2">
      <c r="A23" s="15">
        <v>23</v>
      </c>
      <c r="B23" s="56">
        <v>91</v>
      </c>
      <c r="C23" s="56">
        <v>12</v>
      </c>
      <c r="D23" s="56">
        <v>6</v>
      </c>
      <c r="E23">
        <f t="shared" si="1"/>
        <v>0</v>
      </c>
      <c r="F23">
        <f t="shared" si="2"/>
        <v>0</v>
      </c>
      <c r="G23">
        <f t="shared" si="3"/>
        <v>0</v>
      </c>
      <c r="J23">
        <v>4</v>
      </c>
      <c r="K23">
        <v>2019</v>
      </c>
      <c r="L23">
        <v>84</v>
      </c>
      <c r="M23">
        <v>8</v>
      </c>
      <c r="N23">
        <v>3</v>
      </c>
      <c r="O23">
        <v>21</v>
      </c>
      <c r="Q23" s="64" t="s">
        <v>1996</v>
      </c>
    </row>
    <row r="24" spans="1:17" x14ac:dyDescent="0.2">
      <c r="A24" s="15">
        <v>24</v>
      </c>
      <c r="B24" s="56">
        <v>65</v>
      </c>
      <c r="C24" s="56">
        <v>7</v>
      </c>
      <c r="D24" s="56">
        <v>3</v>
      </c>
      <c r="E24">
        <f t="shared" si="1"/>
        <v>0</v>
      </c>
      <c r="F24">
        <f t="shared" si="2"/>
        <v>0</v>
      </c>
      <c r="G24">
        <f t="shared" si="3"/>
        <v>0</v>
      </c>
      <c r="J24">
        <v>1</v>
      </c>
      <c r="K24">
        <v>2020</v>
      </c>
      <c r="L24">
        <v>71</v>
      </c>
      <c r="M24">
        <v>10</v>
      </c>
      <c r="N24">
        <v>5</v>
      </c>
      <c r="O24">
        <v>22</v>
      </c>
      <c r="Q24" s="63"/>
    </row>
    <row r="25" spans="1:17" x14ac:dyDescent="0.2">
      <c r="A25" s="15">
        <v>25</v>
      </c>
      <c r="B25" s="56">
        <v>108</v>
      </c>
      <c r="C25" s="56">
        <v>8</v>
      </c>
      <c r="D25" s="56">
        <v>3</v>
      </c>
      <c r="E25">
        <f t="shared" si="1"/>
        <v>0</v>
      </c>
      <c r="F25">
        <f t="shared" si="2"/>
        <v>0</v>
      </c>
      <c r="G25">
        <f t="shared" si="3"/>
        <v>0</v>
      </c>
      <c r="J25">
        <v>2</v>
      </c>
      <c r="K25">
        <v>2020</v>
      </c>
      <c r="L25">
        <v>91</v>
      </c>
      <c r="M25">
        <v>12</v>
      </c>
      <c r="N25">
        <v>6</v>
      </c>
      <c r="O25">
        <v>23</v>
      </c>
      <c r="Q25" s="64" t="s">
        <v>1997</v>
      </c>
    </row>
    <row r="26" spans="1:17" x14ac:dyDescent="0.2">
      <c r="A26" s="58">
        <v>26</v>
      </c>
      <c r="B26" s="59">
        <v>122</v>
      </c>
      <c r="C26" s="82">
        <v>6</v>
      </c>
      <c r="D26" s="82">
        <v>4</v>
      </c>
      <c r="E26" s="60">
        <f t="shared" si="1"/>
        <v>0</v>
      </c>
      <c r="F26" s="60">
        <f t="shared" si="2"/>
        <v>-1</v>
      </c>
      <c r="G26" s="60">
        <f t="shared" si="3"/>
        <v>-1</v>
      </c>
      <c r="H26" s="69" t="s">
        <v>2107</v>
      </c>
      <c r="J26">
        <v>3</v>
      </c>
      <c r="K26">
        <v>2020</v>
      </c>
      <c r="L26">
        <v>65</v>
      </c>
      <c r="M26">
        <v>7</v>
      </c>
      <c r="N26">
        <v>3</v>
      </c>
      <c r="O26">
        <v>24</v>
      </c>
      <c r="Q26" s="63"/>
    </row>
    <row r="27" spans="1:17" x14ac:dyDescent="0.2">
      <c r="A27" s="15">
        <v>27</v>
      </c>
      <c r="B27" s="56">
        <v>88</v>
      </c>
      <c r="C27" s="56">
        <v>6</v>
      </c>
      <c r="D27" s="56">
        <v>4</v>
      </c>
      <c r="E27">
        <f t="shared" si="1"/>
        <v>0</v>
      </c>
      <c r="F27">
        <f t="shared" si="2"/>
        <v>0</v>
      </c>
      <c r="G27">
        <f t="shared" si="3"/>
        <v>0</v>
      </c>
      <c r="J27">
        <v>4</v>
      </c>
      <c r="K27">
        <v>2020</v>
      </c>
      <c r="L27">
        <v>108</v>
      </c>
      <c r="M27">
        <v>8</v>
      </c>
      <c r="N27">
        <v>3</v>
      </c>
      <c r="O27">
        <v>25</v>
      </c>
      <c r="Q27" s="63"/>
    </row>
    <row r="28" spans="1:17" x14ac:dyDescent="0.2">
      <c r="A28" s="58">
        <v>28</v>
      </c>
      <c r="B28" s="59">
        <v>106</v>
      </c>
      <c r="C28" s="59">
        <v>6</v>
      </c>
      <c r="D28" s="82">
        <v>3</v>
      </c>
      <c r="E28" s="60">
        <f t="shared" si="1"/>
        <v>0</v>
      </c>
      <c r="F28" s="60">
        <f t="shared" si="2"/>
        <v>0</v>
      </c>
      <c r="G28" s="60">
        <f t="shared" si="3"/>
        <v>1</v>
      </c>
      <c r="H28" s="69" t="s">
        <v>2107</v>
      </c>
      <c r="J28" s="60">
        <v>1</v>
      </c>
      <c r="K28" s="60">
        <v>2021</v>
      </c>
      <c r="L28" s="60">
        <v>122</v>
      </c>
      <c r="M28" s="60">
        <v>7</v>
      </c>
      <c r="N28" s="60">
        <v>5</v>
      </c>
      <c r="O28" s="60">
        <v>26</v>
      </c>
      <c r="Q28" s="62" t="s">
        <v>1998</v>
      </c>
    </row>
    <row r="29" spans="1:17" x14ac:dyDescent="0.2">
      <c r="A29" s="58">
        <v>29</v>
      </c>
      <c r="B29" s="59">
        <v>82</v>
      </c>
      <c r="C29" s="59">
        <v>6</v>
      </c>
      <c r="D29" s="82">
        <v>4</v>
      </c>
      <c r="E29" s="60">
        <f t="shared" si="1"/>
        <v>0</v>
      </c>
      <c r="F29" s="60">
        <f t="shared" si="2"/>
        <v>0</v>
      </c>
      <c r="G29" s="60">
        <f t="shared" si="3"/>
        <v>1</v>
      </c>
      <c r="H29" s="69" t="s">
        <v>2106</v>
      </c>
      <c r="J29">
        <v>2</v>
      </c>
      <c r="K29">
        <v>2021</v>
      </c>
      <c r="L29">
        <v>88</v>
      </c>
      <c r="M29">
        <v>6</v>
      </c>
      <c r="N29">
        <v>4</v>
      </c>
      <c r="O29">
        <v>27</v>
      </c>
      <c r="Q29" s="63"/>
    </row>
    <row r="30" spans="1:17" x14ac:dyDescent="0.2">
      <c r="A30" s="15">
        <v>30</v>
      </c>
      <c r="B30" s="56">
        <v>123</v>
      </c>
      <c r="C30" s="56">
        <v>8</v>
      </c>
      <c r="D30" s="56">
        <v>4</v>
      </c>
      <c r="E30">
        <f t="shared" si="1"/>
        <v>0</v>
      </c>
      <c r="F30">
        <f t="shared" si="2"/>
        <v>0</v>
      </c>
      <c r="G30">
        <f t="shared" si="3"/>
        <v>0</v>
      </c>
      <c r="J30" s="60">
        <v>3</v>
      </c>
      <c r="K30" s="60">
        <v>2021</v>
      </c>
      <c r="L30" s="60">
        <v>106</v>
      </c>
      <c r="M30" s="60">
        <v>6</v>
      </c>
      <c r="N30" s="60">
        <v>2</v>
      </c>
      <c r="O30" s="60">
        <v>28</v>
      </c>
      <c r="Q30" s="63" t="s">
        <v>1999</v>
      </c>
    </row>
    <row r="31" spans="1:17" x14ac:dyDescent="0.2">
      <c r="A31" s="15">
        <v>31</v>
      </c>
      <c r="B31" s="56">
        <v>108</v>
      </c>
      <c r="C31" s="56">
        <v>6</v>
      </c>
      <c r="D31" s="56">
        <v>5</v>
      </c>
      <c r="E31">
        <f t="shared" si="1"/>
        <v>0</v>
      </c>
      <c r="F31">
        <f t="shared" si="2"/>
        <v>0</v>
      </c>
      <c r="G31">
        <f t="shared" si="3"/>
        <v>0</v>
      </c>
      <c r="J31" s="60">
        <v>4</v>
      </c>
      <c r="K31" s="60">
        <v>2021</v>
      </c>
      <c r="L31" s="60">
        <v>82</v>
      </c>
      <c r="M31" s="60">
        <v>6</v>
      </c>
      <c r="N31" s="60">
        <v>3</v>
      </c>
      <c r="O31" s="60">
        <v>29</v>
      </c>
      <c r="Q31" s="63"/>
    </row>
    <row r="32" spans="1:17" x14ac:dyDescent="0.2">
      <c r="A32" s="15">
        <v>32</v>
      </c>
      <c r="B32" s="56">
        <v>128</v>
      </c>
      <c r="C32" s="56">
        <v>4</v>
      </c>
      <c r="D32" s="56">
        <v>2</v>
      </c>
      <c r="E32">
        <f t="shared" si="1"/>
        <v>0</v>
      </c>
      <c r="F32">
        <f t="shared" si="2"/>
        <v>0</v>
      </c>
      <c r="G32">
        <f t="shared" si="3"/>
        <v>0</v>
      </c>
      <c r="J32">
        <v>1</v>
      </c>
      <c r="K32">
        <v>2022</v>
      </c>
      <c r="L32">
        <v>123</v>
      </c>
      <c r="M32">
        <v>8</v>
      </c>
      <c r="N32">
        <v>4</v>
      </c>
      <c r="O32">
        <v>30</v>
      </c>
      <c r="Q32" s="63"/>
    </row>
    <row r="33" spans="1:17" x14ac:dyDescent="0.2">
      <c r="A33" s="15">
        <v>33</v>
      </c>
      <c r="B33" s="56">
        <v>115</v>
      </c>
      <c r="C33" s="56">
        <v>6</v>
      </c>
      <c r="D33" s="56">
        <v>3</v>
      </c>
      <c r="E33">
        <f t="shared" si="1"/>
        <v>0</v>
      </c>
      <c r="F33">
        <f t="shared" si="2"/>
        <v>0</v>
      </c>
      <c r="G33">
        <f t="shared" si="3"/>
        <v>0</v>
      </c>
      <c r="J33">
        <v>2</v>
      </c>
      <c r="K33">
        <v>2022</v>
      </c>
      <c r="L33">
        <v>108</v>
      </c>
      <c r="M33">
        <v>6</v>
      </c>
      <c r="N33">
        <v>5</v>
      </c>
      <c r="O33">
        <v>31</v>
      </c>
      <c r="Q33" s="63"/>
    </row>
    <row r="34" spans="1:17" x14ac:dyDescent="0.2">
      <c r="A34" s="15" t="s">
        <v>1984</v>
      </c>
      <c r="B34" s="56"/>
      <c r="C34" s="56"/>
      <c r="D34" s="56"/>
      <c r="J34">
        <v>3</v>
      </c>
      <c r="K34">
        <v>2022</v>
      </c>
      <c r="L34">
        <v>128</v>
      </c>
      <c r="M34">
        <v>4</v>
      </c>
      <c r="N34">
        <v>2</v>
      </c>
      <c r="O34">
        <v>32</v>
      </c>
      <c r="Q34" s="63" t="s">
        <v>2000</v>
      </c>
    </row>
    <row r="35" spans="1:17" x14ac:dyDescent="0.2">
      <c r="A35" s="15" t="s">
        <v>1985</v>
      </c>
      <c r="B35" s="56">
        <v>98.509933774834437</v>
      </c>
      <c r="C35" s="56">
        <v>9.483443708609272</v>
      </c>
      <c r="D35" s="56">
        <v>4.741721854304636</v>
      </c>
      <c r="J35">
        <v>4</v>
      </c>
      <c r="K35">
        <v>2022</v>
      </c>
      <c r="L35">
        <v>115</v>
      </c>
      <c r="M35">
        <v>6</v>
      </c>
      <c r="N35">
        <v>3</v>
      </c>
      <c r="O35">
        <v>33</v>
      </c>
      <c r="Q35" s="63" t="s">
        <v>2001</v>
      </c>
    </row>
    <row r="37" spans="1:17" ht="15" x14ac:dyDescent="0.25">
      <c r="J37" s="61" t="s">
        <v>2002</v>
      </c>
      <c r="K37" s="61"/>
      <c r="L37" s="61">
        <f>SUM(L2:L36)</f>
        <v>3346</v>
      </c>
      <c r="M37" s="61">
        <f>SUM(M2:M36)</f>
        <v>310</v>
      </c>
      <c r="N37" s="61">
        <f>SUM(N2:N36)</f>
        <v>146</v>
      </c>
      <c r="O37" s="61"/>
      <c r="P37" s="61"/>
      <c r="Q37" s="61"/>
    </row>
    <row r="38" spans="1:17" x14ac:dyDescent="0.2">
      <c r="J38" t="s">
        <v>2003</v>
      </c>
    </row>
    <row r="42" spans="1:17" x14ac:dyDescent="0.2">
      <c r="A42" t="s">
        <v>2004</v>
      </c>
    </row>
    <row r="50" spans="1:1" x14ac:dyDescent="0.2">
      <c r="A50" t="s">
        <v>2005</v>
      </c>
    </row>
    <row r="59" spans="1:1" x14ac:dyDescent="0.2">
      <c r="A59" t="s">
        <v>2009</v>
      </c>
    </row>
    <row r="66" spans="1:1" x14ac:dyDescent="0.2">
      <c r="A66" t="s">
        <v>2010</v>
      </c>
    </row>
    <row r="73" spans="1:1" x14ac:dyDescent="0.2">
      <c r="A73" t="s">
        <v>2011</v>
      </c>
    </row>
    <row r="83" spans="1:1" x14ac:dyDescent="0.2">
      <c r="A83" t="s">
        <v>2012</v>
      </c>
    </row>
  </sheetData>
  <pageMargins left="0.7" right="0.7" top="0.78740157499999996" bottom="0.78740157499999996"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Newsletter</vt:lpstr>
      <vt:lpstr>Categories_dict</vt:lpstr>
      <vt:lpstr>Vergleich_NL-Statistik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2023-04-19T11:50:29Z</dcterms:modified>
</cp:coreProperties>
</file>