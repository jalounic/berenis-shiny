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_ers\Skriptbibliothek\R\ShinyApps\BAFU_BERENIS_APP\data\"/>
    </mc:Choice>
  </mc:AlternateContent>
  <bookViews>
    <workbookView xWindow="0" yWindow="0" windowWidth="19200" windowHeight="5955" activeTab="2"/>
  </bookViews>
  <sheets>
    <sheet name="test_berenis" sheetId="1" r:id="rId1"/>
    <sheet name="ScreeningStats" sheetId="3" r:id="rId2"/>
    <sheet name="Categories" sheetId="2" r:id="rId3"/>
  </sheets>
  <definedNames>
    <definedName name="_xlnm._FilterDatabase" localSheetId="2" hidden="1">Categories!$A$1:$H$1</definedName>
    <definedName name="_xlnm._FilterDatabase" localSheetId="1" hidden="1">ScreeningStats!$A$1:$I$1</definedName>
    <definedName name="_xlnm._FilterDatabase" localSheetId="0" hidden="1">test_berenis!$A$1:$X$12</definedName>
    <definedName name="OLE_LINK1" localSheetId="2">Categories!$B$1</definedName>
  </definedNames>
  <calcPr calcId="162913"/>
</workbook>
</file>

<file path=xl/calcChain.xml><?xml version="1.0" encoding="utf-8"?>
<calcChain xmlns="http://schemas.openxmlformats.org/spreadsheetml/2006/main">
  <c r="A2" i="2" l="1"/>
  <c r="B2" i="2"/>
  <c r="C2" i="2"/>
  <c r="D2" i="2"/>
  <c r="E2" i="2"/>
  <c r="F2" i="2"/>
  <c r="G2" i="2"/>
  <c r="H2" i="2"/>
</calcChain>
</file>

<file path=xl/sharedStrings.xml><?xml version="1.0" encoding="utf-8"?>
<sst xmlns="http://schemas.openxmlformats.org/spreadsheetml/2006/main" count="392" uniqueCount="267">
  <si>
    <t>Year</t>
  </si>
  <si>
    <t>Title</t>
  </si>
  <si>
    <t>Link</t>
  </si>
  <si>
    <t>Albaqami, M., et al.</t>
  </si>
  <si>
    <t>Arabidopsis cryptochrome is responsive to Radiofrequency (RF) electromagnetic fields</t>
  </si>
  <si>
    <t xml:space="preserve">Cryptochrome </t>
  </si>
  <si>
    <t>Andrianome, S., et al.</t>
  </si>
  <si>
    <t>Disturbed sleep in individuals with Idiopathic environmental intolerance attributed to electromagnetic fields (IEI-EMF): Melatonin assessment as a biological marker. Bioelectromagnetics.</t>
  </si>
  <si>
    <t>Increasing levels of saliva alpha amylase in electrohypersensitive (EHS) patients.</t>
  </si>
  <si>
    <t>https://www.bafu.admin.ch/dam/bafu/fr/dokumente/elektrosmog/fachinfo-daten/newsletter-berenis-13.pdf.download.pdf/Newsletter_BERENIS_No_13_-_Mars_2018_FR.pdf</t>
  </si>
  <si>
    <t>ARIMMORA</t>
  </si>
  <si>
    <t>Advanced Research on Interaction Mechanisms of electroMagnetic exposures with Organisms for Risk Assessment.</t>
  </si>
  <si>
    <t>https://www.bafu.admin.ch/dam/bafu/fr/dokumente/elektrosmog/fachinfo-daten/newsletter_berenisnr4-dezember2015.pdf.download.pdf/newsletter_berenisn4-decembre2015.pdf</t>
  </si>
  <si>
    <t xml:space="preserve">Auger, N., et al. </t>
  </si>
  <si>
    <t>Maternal proximity to extremely low frequency electromagnetic fields and risk of birth defects.</t>
  </si>
  <si>
    <t>https://www.bafu.admin.ch/dam/bafu/fr/dokumente/elektrosmog/fachinfo-daten/newsletter-berenis-nr-19-2019.pdf.download.pdf/Newsletter_BERENIS_Nr._19_FRANCAIS.pdf</t>
  </si>
  <si>
    <t xml:space="preserve">Auvinen, A., et al. </t>
  </si>
  <si>
    <t>Headache, tinnitus and hearing loss in the international Cohort Study of Mobile Phone Use and Health (COSMOS) in Sweden and Finland.</t>
  </si>
  <si>
    <t>https://www.bafu.admin.ch/dam/bafu/fr/dokumente/elektrosmog/fachinfo-daten/newsletter-berenis-nr-20-maerz-2020.pdf.download.pdf/Newsletter_BERENIS_Nr20_fr.pdf</t>
  </si>
  <si>
    <t>Baek, S., et al.</t>
  </si>
  <si>
    <t>Electromagnetic Fields Mediate Efficient Cell Reprogramming into a Pluripotent State.</t>
  </si>
  <si>
    <t>https://www.bafu.admin.ch/dam/bafu/fr/dokumente/elektrosmog/fachinfo-daten/newsletter_berenisnr1-maerz2015.pdf.download.pdf/newsletter_berenisn1-mars2015.pdf</t>
  </si>
  <si>
    <t xml:space="preserve">Baliatsas, C., et al. </t>
  </si>
  <si>
    <t>Actual and perceived exposure to electromagnetic fields and non-specific physical symptoms: an epidemiological study based on self-reported data and electronic medical records.</t>
  </si>
  <si>
    <t>Clinically defined non-specific symptoms in the vicinity of mobile phone base stations: A retrospective before-after study.</t>
  </si>
  <si>
    <t>https://www.bafu.admin.ch/dam/bafu/fr/dokumente/elektrosmog/fachinfo-daten/newsleter_berenisnr8.pdf.download.pdf/Newsletter_BERENIS_Nr._8_-_FRANCAIS.pdf</t>
  </si>
  <si>
    <t xml:space="preserve">Barnes, F. and B. Greenebaum </t>
  </si>
  <si>
    <t>Comments on Vladimir Binhi and Frank Prato's A physical mechanism of magnetoreception: Extension and analysis.</t>
  </si>
  <si>
    <t>https://www.bafu.admin.ch/dam/bafu/fr/dokumente/elektrosmog/fachinfo-daten/newsletter_berenisnr11_september2017.pdf.download.pdf/Newsletter_BERENIS_No_11_-_septembre_2017_FR.pdf</t>
  </si>
  <si>
    <t>NL_date</t>
  </si>
  <si>
    <t>NL_lead</t>
  </si>
  <si>
    <t>NL_studyLead</t>
  </si>
  <si>
    <t>NL_issue</t>
  </si>
  <si>
    <t>NL_studySummary</t>
  </si>
  <si>
    <t>NL_studyLead_FR</t>
  </si>
  <si>
    <t>NL_lead_FR</t>
  </si>
  <si>
    <t>NL_studySummary_FR</t>
  </si>
  <si>
    <t>De fin juillet à début novembre 2017, 95 nouvelles publications ont été identifiées et onze d’entre elles ont été discutées de manière approfondie par le groupe d’experts BERENIS. Parmi ces onze publications, quatre, considérées comme particulièrement significatives, ont été sélectionnées aux fins de l’évaluation ; elles sont résumées ci-après. Dans la présente édition, une attention particulière est accordée au rôle joué par les cryptochromes en tant que magnétorécepteurs.</t>
  </si>
  <si>
    <t>Alpha-amylase (un enzyme de la salive) et hypersensibilité électromagnétique</t>
  </si>
  <si>
    <t>L’étude a porté sur la présence de biomarqueurs de l’hypersensibilité électromagnétique (EHS) dans la salive et l’urine. À l’heure actuelle, il n’existe pas de biomarqueurs reconnus, c’est-à-dire que le diagnostic se fonde uniquement sur les indications subjectives fournies par les personnes concernées. Dans le cadre de cette étude, 30 personnes hypersensibles selon leurs propres indications et un groupe de contrôle de 25 personnes avec des répartitions d’âge et de sexe comparables ont été examinés. Le cortisol est considéré comme un indicateur de l’activité de l’axe hypothalamus-hypophyse-glande surrénale et comme un indicateur de stress. L’alpha-amylase, un enzyme de la salive, est considéré comme un indicateur des modifications du système nerveux autonome. Il réagit à des facteurs de stress psychosociaux, mais n’est toutefois pas corrélé avec d’autres marqueurs de stress comme le cortisol, la noradrénaline et le rythme cardiaque. La plupart des marqueurs du système immunitaire et des rythmes circadiens (le cortisol, p. ex.) n’ont pas varié d’un groupe à l’autre. Les quantités d’enzyme de la salive étaient cependant accrues dans le groupe EHS. On ignore cependant si cette différence est due aux CEM ou si elle résulte d’un stress chronique des personnes souffrant d’EHS. L’analyse statistique soulève des questions, car les marqueurs mesurés ont été testés individuellement et n’ont pas été soumis à une analyse multivariée. On ne sait pas non plus comment le groupe de contrôle a été recruté. Malgré tout, le résultat est intéressant et des études futures doivent montrer si les différences notées au sujet de l’alpha_x0002_amylase sont suffisamment importantes pour pouvoir être utilisées à des fins de marquage spécifique de l’EHS.</t>
  </si>
  <si>
    <t>Speichelenzym Alpha-Amylase und Elektrohypersensitivität</t>
  </si>
  <si>
    <t>In dieser Studie wurde untersucht, ob sich im Speichel und Urin Biomarker für Elektrohypersensibilität (EHS) finden lassen. Bis jetzt existieren keine etablierten Biomarker, d.h. die Diagnose wird alleine auf subjektive Angaben der Betroffenen abgestützt. Dreissig nach eigenen Angaben hypersensitive Personen und eine Kontrollgruppe von 25 Personen mit ähnlicher Alters_x0002_und Geschlechtsverteilung wurden untersucht. Kortisol gilt als Indikator für die Aktivität der Hypothalamus-Hypophysen-Nebennierenachse und als Stressindikator. Das Speichelenzym Alpha_x0002_Amylase wird als Indikator für Veränderungen des autonomen Nervensystems betrachtet und reagiert auf psychosoziale Stressoren, ist jedoch nicht mit anderen sogenannten Stressmarkern wie Kortisol, Noradrenalin und Herzrate korreliert. Die meisten Marker des Immunsystems und zirkadianer Rhythmen (z.B. Kortisol) unterschieden sich nicht zwischen den beiden Gruppen. Das Speichelenzym Alpha-Amylase hingegen war in der EHS-Gruppe erhöht. Unklar ist, ob dieser Unterschied auf EMF zurückzuführen ist, oder ob er eine Konsequenz von chronischem Stress in Personen mit EHS ist. Die statistische Analyse wirft auch Fragen auf, da die gemessenen Marker einzeln getestet und nicht einer multivariaten Analyse unterzogen wurden. Auch wird nicht klar, wie die Kontrollgruppe rekrutiert wurde. Trotzdem ist das Ergebnis interessant und zukünftige Studien müssen zeigen, ob die Unterschiede in der Alpha-Amylase gross genug sind, um sich als spezifischer Marker für EHS zu eignen.</t>
  </si>
  <si>
    <t>Im Zeitraum Ende Juli bis Anfang November 2017 wurden 95 neue Publikationen identifiziert, von denen 11 von BERENIS vertieft diskutiert wurden. Vier davon wurden gemäss den Auswahlkriterien als besonders relevant und somit zur Bewertung ausgewählt und werden im Folgenden zusammengefasst. In dieser Ausgabe wird ein besonderes Augenmerk auf die Rolle von Cryptochrom als Magnetfeldrezeptor gelegt.</t>
  </si>
  <si>
    <t>Andrianome S, Hugueville L, de Seze R, Selmaoui B</t>
  </si>
  <si>
    <t>Journal</t>
  </si>
  <si>
    <t>. Int J Radiat Biol</t>
  </si>
  <si>
    <t>NL_Link_DE</t>
  </si>
  <si>
    <t>NL_Link_FR</t>
  </si>
  <si>
    <t>https://www.ncbi.nlm.nih.gov/pubmed/28466664</t>
  </si>
  <si>
    <t>https://www.bafu.admin.ch/dam/bafu/de/dokumente/elektrosmog/fachinfo-daten/newsletter-berenis-13.pdf.download.pdf/Newsletter_BERENIS_Nr._13_-_M%C3%A4rz_2018_DE.pdf</t>
  </si>
  <si>
    <t>cat_freqRange</t>
  </si>
  <si>
    <t>cat_studyType</t>
  </si>
  <si>
    <t>cat_source</t>
  </si>
  <si>
    <t>cat_examinationObject</t>
  </si>
  <si>
    <t>cat_duration</t>
  </si>
  <si>
    <t>cat_targetDimension</t>
  </si>
  <si>
    <t>Neue Kopfmodelle von Kindern und hochfrequente elektromagnetische Felder</t>
  </si>
  <si>
    <t>Bisherige Studien zum Thema Exposition von Kinderköpfen verwendeten skalierte anatomische 
Kopfmodelle von Erwachsenen oder aber Kopfmodelle basierend auf MRI-Daten von Kindern, die 
älter als 3 Jahre alt sind. Damit wurden nur Veränderungen in der äusseren Form und Grösse des 
Kopfes und die Altersabhängigkeit der dielektrischen Parameter berücksichtigt. In der Realität 
verändert sich aber neben Form und Grösse des Kopfes auch die räumliche Verteilung der 
verschiedenen Gewebearten. Für Kinder bis zum Alter von drei Jahren müssen zudem noch die in 
ihrer Grösse graduell abnehmenden Fontanellen ins Modell eingefügt werden.
In dieser Studie wurden drei wichtige altersabhängige anatomische Veränderungen im Modell 
berücksichtigt. Basierend auf dem Modell eines 7-jährigen Kindes wurden durch Skalierung Modelle 
von 3, 6, 12, 18 und 36 Monate alten Kleinkindern erzeugt. Dabei wurde die altersbedingte räumliche 
Verteilung von weisser und grauer Hirnmasse angepasst und die Fontanellen ins Modell eingefügt. 
Aufgrund fehlender Messdaten von Gewebeparametern von Kleinkindern wurden die 
altersbedingten Veränderungen numerisch extrapoliert. Dabei wurde berücksichtigt, dass bei 
Kleinkindern der Volumenanteil an extrazellulärer Flüssigkeit und der Gehalt an gewissen chemischen 
Elementen grösser sind als bei Erwachsenen. Die Gewebeparameter werden durch das Wachstum 
und die damit verbundene Abnahme des Wasseranteils im Gewebe signifikant verändert. Die 
Dielektrizitätskonstante nimmt dadurch ab, wobei die Leitfähigkeit zunimmt. Diese Veränderungen 
haben einen direkten Einfluss auf die im Gewebe aufgenommene Strahlung. Die verschiedenen 
Kinder- und Erwachsenen-Modelle wurden für verschiedene Expositions-Szenarien berechnet. Dazu 
wurde ein Mobiltelefon am Ohr, vor dem Mund und über dem Kopf positioniert. Die Situation des 
Mobiltelefons über dem Kopf soll das Szenario des Erwachsenen nachbilden, der ein Kind trägt und 
dabei telefoniert. Die Resultate dieser Studie weisen auf eine bisherige Unterschätzung der 
maximalen SAR-Werte in Köpfen von Kindern unter drei Jahren hin. Die maximalen SAR-Werte für die 
Situation des Mobiltelefons am Ohr sind zum Beispiel in dreimonatigen Kindern bei 700 MHz um 61% 
und bei 2.6 GHz um 78% höher als bei Erwachsenen. Auch für die anderen Situationen ergeben sich 
höhere SAR-Werte als bei Modellen von Erwachsenen und vorherigen Studien. Aufgrund der 
vorliegenden Resultate wäre eine vertiefte Untersuchung des Einflusses der anatomischen und 
dielektrischen Unterschiede zwischen Kindern und Erwachsenen auf die maximalen SAR-Werte und 
der im Gewebe absorbierten Leistung wünschenswert. Eine gewisse Unsicherheit besteht zudem in 
der numerischen Extrapolation der Gewebeparameter, die noch genauer überprüft werden muss.</t>
  </si>
  <si>
    <t>Mobilfunk</t>
  </si>
  <si>
    <t>Epidemiologische Studie</t>
  </si>
  <si>
    <t>Zellstudie</t>
  </si>
  <si>
    <t>Report</t>
  </si>
  <si>
    <t>Humanexpreimentelle Studie</t>
  </si>
  <si>
    <t>Pflanzenstudie</t>
  </si>
  <si>
    <t>Mohammed B, Jin J, Abbosh A, Bialkowski K, Manoufali M, Crozier S</t>
  </si>
  <si>
    <t>Evaluation of children exposure to electromagnetic fields of mobile phones using age-specific head models with age-dependent dielectric properties.</t>
  </si>
  <si>
    <t>IEEE Access</t>
  </si>
  <si>
    <t>https://doi.org/10.1109/ACCESS.2017.2767074</t>
  </si>
  <si>
    <t>Authors</t>
  </si>
  <si>
    <t>Modellierung</t>
  </si>
  <si>
    <t xml:space="preserve">Frequenzbereich </t>
  </si>
  <si>
    <t>Quelle</t>
  </si>
  <si>
    <t>Studientyp</t>
  </si>
  <si>
    <t>Wirkungsdauer</t>
  </si>
  <si>
    <t>Statisch</t>
  </si>
  <si>
    <t>Niederfrequent (NF) (1 Hz bis 300 Hz)</t>
  </si>
  <si>
    <t>Zwischenfrequenzen (IF) (300 Hz bis 100 kHz)</t>
  </si>
  <si>
    <t>Hochfrequent (HF) (100 kHz bis 6 GHz)</t>
  </si>
  <si>
    <t>Millimeterwellen (6 GHz bis 300 GHz)</t>
  </si>
  <si>
    <t>Bahnstrom</t>
  </si>
  <si>
    <t>Hochspannungsleitungen</t>
  </si>
  <si>
    <t>Transformatoren</t>
  </si>
  <si>
    <t>Elektrische Geräte</t>
  </si>
  <si>
    <t>Erdmagnetfeld</t>
  </si>
  <si>
    <t>Induktionskochherde</t>
  </si>
  <si>
    <t>Fernseh- und Radiosender</t>
  </si>
  <si>
    <t>MRI</t>
  </si>
  <si>
    <t>Radar</t>
  </si>
  <si>
    <t>Schnurlostelefone</t>
  </si>
  <si>
    <t>Beruflich</t>
  </si>
  <si>
    <t>Wireless LAN, WiFi</t>
  </si>
  <si>
    <t>Gesamtbevölkerung</t>
  </si>
  <si>
    <t>Beruflich Exponierte</t>
  </si>
  <si>
    <t>Erwachsene (alle)</t>
  </si>
  <si>
    <t>Kinder und Jugendliche</t>
  </si>
  <si>
    <t>Patienten-, Registerdaten</t>
  </si>
  <si>
    <t>Elektrohypersensibilität</t>
  </si>
  <si>
    <t>Schwangere Frauen</t>
  </si>
  <si>
    <t>Ungeborene</t>
  </si>
  <si>
    <t>Ratten, Mäuse</t>
  </si>
  <si>
    <t>Andere Tiere</t>
  </si>
  <si>
    <t>Pflanzen</t>
  </si>
  <si>
    <t>Pilze</t>
  </si>
  <si>
    <t>Zellkulturen</t>
  </si>
  <si>
    <t xml:space="preserve">Akut </t>
  </si>
  <si>
    <t>Chronisch</t>
  </si>
  <si>
    <t>Nicht bestimmt</t>
  </si>
  <si>
    <t>Biomarker</t>
  </si>
  <si>
    <t>Blut-Hirnschranke</t>
  </si>
  <si>
    <t>Elektrische Gehirnaktivität (Hirnströme, EEG)</t>
  </si>
  <si>
    <t>Exposition und Dosimetrie</t>
  </si>
  <si>
    <t>Fortpflanzung, Fertilität</t>
  </si>
  <si>
    <t>Gehirndurchblutung und Stoffwechsel</t>
  </si>
  <si>
    <t>Gen- und Proteinexpression</t>
  </si>
  <si>
    <t>Genotoxizität, DNA-Schäden</t>
  </si>
  <si>
    <t>Haut</t>
  </si>
  <si>
    <t>Herz-/Kreislaufsystem und autonomes Nervensystem</t>
  </si>
  <si>
    <t>Hormone</t>
  </si>
  <si>
    <t xml:space="preserve">Immunsystem </t>
  </si>
  <si>
    <t>Kognitive Funktionen</t>
  </si>
  <si>
    <t>Magnetorezeption, Cryptochrome</t>
  </si>
  <si>
    <t>Neurodegenerative Erkrankungen (z.B. Parkinson, Alzheimer, ALS, Demenz)</t>
  </si>
  <si>
    <t>Oxidativer Stress – Reaktive Sauerstoffspezies (ROS)</t>
  </si>
  <si>
    <t>Schlaf</t>
  </si>
  <si>
    <t>Seh- und Hörstörungen</t>
  </si>
  <si>
    <t>Unspezifische Symptome</t>
  </si>
  <si>
    <t>Tumore/Krebs</t>
  </si>
  <si>
    <t>Temperatur</t>
  </si>
  <si>
    <t>Verhalten</t>
  </si>
  <si>
    <t>Frequenzbereich_simple</t>
  </si>
  <si>
    <t>Studientyp_simple</t>
  </si>
  <si>
    <t>Zell- oder Tierstudie</t>
  </si>
  <si>
    <t>Epidemiologisch oder Humanexperimentelle Studie</t>
  </si>
  <si>
    <t>Anderes</t>
  </si>
  <si>
    <t>gesamter Frequenzbereich</t>
  </si>
  <si>
    <t>Gesamter Frequenzbereich</t>
  </si>
  <si>
    <t>cat_freqRangeSimple</t>
  </si>
  <si>
    <t>cat_studyTypeSimple</t>
  </si>
  <si>
    <t>Tierstudie</t>
  </si>
  <si>
    <t>Humanexperimentelle Studie</t>
  </si>
  <si>
    <t>Exposition/Dosimetrie</t>
  </si>
  <si>
    <t>Theorien/Hypothesen</t>
  </si>
  <si>
    <t>Metaanalyse, Übersichtsarbeit</t>
  </si>
  <si>
    <t>Niederfrequent (NF) (1 Hz bis 300 Hz) oder Statisch</t>
  </si>
  <si>
    <t>https://www.bafu.admin.ch/dam/bafu/de/dokumente/elektrosmog/fachinfo-daten/newsletter-berenis-nr-25.pdf.download.pdf/Newsletter%20BERENIS%20Nr.%2025%20-%20Mai%202021.pdf</t>
  </si>
  <si>
    <t>https://www.bafu.admin.ch/dam/bafu/de/dokumente/elektrosmog/fachinfo-daten/newsletter-berenis-nr-20-maerz-2020.pdf.download.pdf/Newsletter_BERENIS_Nr20_de.pdf</t>
  </si>
  <si>
    <t>https://www.bafu.admin.ch/dam/bafu/de/dokumente/elektrosmog/fachinfo-daten/newsletter-berenis-nr-19-2019.pdf.download.pdf/Newsletter_BERENIS_Nr._19_-_DEUTSCH.pdf</t>
  </si>
  <si>
    <t>https://www.bafu.admin.ch/dam/bafu/de/dokumente/elektrosmog/fachinfo-daten/newsletter_berenisnr11_september2017.pdf.download.pdf/Newsletter_BERENIS_Nr._11_-_September_2017_DE.pdf</t>
  </si>
  <si>
    <t>https://www.bafu.admin.ch/dam/bafu/de/dokumente/elektrosmog/fachinfo-daten/newsleter_berenisnr8.pdf.download.pdf/Newsletter_BERENIS_Nr._8_-_DEUTSCH.pdf</t>
  </si>
  <si>
    <t>https://www.bafu.admin.ch/dam/bafu/de/dokumente/elektrosmog/fachinfo-daten/newsletter_berenisnr6-juni2016.pdf.download.pdf/newsletter_berenisnr6-juni2016.pdf</t>
  </si>
  <si>
    <t>https://www.bafu.admin.ch/dam/bafu/de/dokumente/elektrosmog/fachinfo-daten/newsletter_berenisnr4-dezember2015.pdf.download.pdf/newsletter_berenisnr4-dezember2015.pdf</t>
  </si>
  <si>
    <t>https://www.bafu.admin.ch/dam/bafu/de/dokumente/elektrosmog/fachinfo-daten/newsletter_berenisnr1-maerz2015.pdf.download.pdf/newsletter_berenisnr1-maerz2015.pdf</t>
  </si>
  <si>
    <t>Pflanzenstudie zu Cryptochrom und hochfrequenten elektromagnetischen Feldern</t>
  </si>
  <si>
    <t xml:space="preserve">Die Studie von Albaqami et al. (2020) ist zwar nicht relevant für die menschliche Gesundheit, aber sie 
zeigt einmal mehr, dass Wahrnehmung von Magnetfeldern durch den Cryptochrom- (CRY) Rezeptor 
vermittelt wird, einem evolutionär konservierten Flavo-Protein, das nicht nur in Säugetieren und 
Vögeln, sondern auch in Pflanzen existiert. Schotenkresse wurde für insgesamt 90 Minuten sechs 
Zyklen Blaulicht ausgesetzt (jeweils 5 Minuten Blaulicht, 10 Minuten dunkel). Die gleichzeitige EMF Exposition (insgesamt 4 Wochen) bei 7 MHz, 2 µT oder einem schwachen Magnetfeld mit einer 
Feldstärke von 200 nT während einer Woche reduzierte die biologische Antwort auf Blaulicht via CRY1- 
Aktivität in den Setzlingen. Dieser Effekt war bei einer Ausrichtung des künstlichen Magnetfeldes zum 
Erdmagnetfeld von 90° ausgeprägter als bei einer Ausrichtung von 180°.
Blaulicht bedingte eine Wachstumshemmung durch eine vermehrte CRY-Aktivität. HF-EMF sowie das 
Magnetfeld von 200 nT hemmten die Phosphorylierung von CRY1, und aktivierten damit den CRY1-
Rezeptor. Nach HF-EMF-Exposition wuchsen die jungen Pflanzen schneller. Eine erhöhte Expression 
von Genen, die an der Modulation von CRY beteiligt sind, untermauerte die Befunde. Anhand eines 
theoretischen Modells führen die Autoren diese Wirkungen auf den Radikalpaar-Mechanismus zurück. 
Die Wahrnehmung des Magnetfeldes war bei ähnlichen Frequenzen, wie auch schon bei Säugetieren 
und Vögeln gezeigt, auch bei den Pflanzen kausal mit dem CRY-Rezeptor verbunden. </t>
  </si>
  <si>
    <t>Im Zeitraum von Mitte Juli bis Mitte Oktober 2020 wurden 108 neue Publikationen identifiziert, von 
denen acht von BERENIS vertieft diskutiert wurden. Drei davon wurden gemäss den Auswahlkriterien 
als besonders relevant und somit zur Bewertung ausgewählt und werden im Folgenden 
zusammengefasst</t>
  </si>
  <si>
    <t>Erste Ergebnisse der internationalen Kohortenstudie zu Handynutzung und Gesundheit (COSMOS Studie) in Schweden und Finnland</t>
  </si>
  <si>
    <t>Ein grosser Teil der bisher durchgeführten epidemiologischen Studien zu den gesundheitlichen Risiken 
von HF-EMF durch Handynutzung basiert auf retrospektiv erhobenen Nutzungsdaten. 
Studienteilnehmer werden hierbei zu ihren Nutzungsgewohnheiten hinsichtlich Dauer und Häufigkeit 
von Handytelefonaten befragt, die oft jahrelang zurückliegen. Dies kann zu einer systematischen 
Verzerrung einer Studie durch das unterschiedliche Erinnerungsvermögen von gesunden und kranken 
Studienteilnehmenden führen. Keinen solchen Bias gibt es in der seit 2007 prospektiv durchgeführten 
internationalen Kohortenstudie COSMOS, aus der nun erste Ergebnisse von über 24'000 
Teilnehmenden aus Schweden und Finnland vorliegen (Auvinen et al. 2019). Dabei wurden Daten zur 
Mobiltelefonnutzung bereits zu Beginn der Studie mittels Fragebogen erfasst. Zusätzlich wurden bei 
Studienbeginn während drei Monaten objektive Daten zur Gesprächsdauer auf dem GSM- (2G) und 
UMTS- (3G) Netz von den Mobilfunkanbietern gesammelt. Vier Jahre später füllten die 
Studienteilnehmer Fragebögen aus, mit denen erhoben wurde, ob sie an Symptomen wie 
Kopfschmerzen, Tinnitus oder Hörverlust litten. Hinsichtlich Tinnitus und Hörverlust ergab die Studie 
keine Hinweise auf Zusammenhänge. Die Teilnehmergruppe mit den längsten Gesprächszeiten (&gt;276 
min/Woche) berichtete 13% häufiger als Wenig-Nutzer, seit dem Start der Studie neu wöchentlich an 
Kopfschmerzen zu leiden. Die Expositions-Wirkungsbeziehung war knapp nicht signifikant (p=0.06). 
Der Zusammenhang war tendenziell ausgeprägter für UMTS-Nutzung (OR=1.16, 95% 
Konfidenzintervall: 0.93-1.46) als für GSM-Nutzung (1.06, 95% KI: 0.89-1.26).
Grosse Stärken dieser Studie sind neben dem erwähnten prospektiven Ansatz die sehr grosse Anzahl 
von Studienteilnehmenden und die Verwendung von objektiven Daten der Mobilfunkanbieter. Dass 
der Zusammenhang mit Kopfschmerzen vor allem bei Telefonierenden im UMTS-Netz bestand und 
nicht bei Telefonierenden im GSM-Netz, spricht laut Autoren gegen eine ursächliche Rolle von HF-EMF. 
Beim Telefonieren im älteren GSM-Netz ist man rund 100 bis 500 Mal stärker exponiert als beim UMTS Netz1
 und entsprechend wären höhere Risiken bei GSM-Nutzung zu erwarten, wenn die 
Kopfschmerzen durch HF-EMF ausgelöst worden wären. Somit erscheint es wahrscheinlicher, dass 
andere, nicht bekannte Faktoren, welche mit intensiver Mobiltelefonnutzung korrelieren, eine Rolle 
für das Neuauftreten von Kopfschmerzen spielen.</t>
  </si>
  <si>
    <t>Im Zeitraum Ende April bis Anfang August 2019 wurden 103 neue Publikationen identifiziert, von 
denen neun von BERENIS vertieft diskutiert wurden. Sechs davon wurden gemäss den 
Auswahlkriterien als besonders relevant und somit zur Bewertung ausgewählt und werden im 
Folgenden zusammengefasst.</t>
  </si>
  <si>
    <t>Im Zeitraum Februar bis April 2019 wurden 112 neue Publikationen identifiziert, von denen 9 von 
BERENIS vertieft diskutiert wurden. Vier davon wurden gemäss den Auswahlkriterien als besonders 
relevant und somit zur Bewertung ausgewählt und werden im Folgenden zusammengefasst. Darüber 
hinaus werden in dieser Ausgabe einige Studien vorgestellt, die Zusammenhänge von 
Mobilfunknutzung und strahlungsunabhängigen gesundheitlichen Auswirkungen bei Jugendlichen 
untersuchen.</t>
  </si>
  <si>
    <t>Geburtsdefekte und Exposition der Mutter gegenüber niederfrequenten Magnetfeldern</t>
  </si>
  <si>
    <t>NL</t>
  </si>
  <si>
    <t>screening_start</t>
  </si>
  <si>
    <t>screening_end</t>
  </si>
  <si>
    <t>studies_discussed</t>
  </si>
  <si>
    <t>NL_published</t>
  </si>
  <si>
    <t>studies_selected</t>
  </si>
  <si>
    <t>studies_additional</t>
  </si>
  <si>
    <t>NA</t>
  </si>
  <si>
    <t>NL_Topic</t>
  </si>
  <si>
    <t>ICNIRP 2020</t>
  </si>
  <si>
    <t>Oxidativen Stress durch elektromagnetische Felder</t>
  </si>
  <si>
    <t>Krebsstudien mit Mäusen und Ratten bei lebenslanger hochfrequenter Exposition</t>
  </si>
  <si>
    <t>studies_identified</t>
  </si>
  <si>
    <t>Special Edition 1</t>
  </si>
  <si>
    <t>Special Edition 2</t>
  </si>
  <si>
    <t>Special Edition 3</t>
  </si>
  <si>
    <t>Verstärkte Entzündungsreaktion durch Exposition mit einem hochfrequenten elektromagnetischen Feld zusammen mit Feinstaub</t>
  </si>
  <si>
    <t>Ein interessanter experimenteller Ansatz wurde in der Studie von Sueiro-Benavides et al. (2020) in
kultivierten Zellen des Immunsystems angewendet. Es wurde die kombinierte Wirkung zweier
Umweltfaktoren, einem HF-EMF und einem Modell für Russ untersucht. Dazu haben die Autoren eine
Makrophagen-Zelllinie der Maus (RAW 264.7) gleichzeitig einem 2.45 GHz HF-EMF (SAR 0.4 W/kg) und
zwei unterschiedlichen Konzentrationen von Russpartikeln ausgesetzt. Die Dauer der Expositionen war
24 oder 72 Stunden, und anschliessend wurden verschiedene Zellreaktionen mit Einzel- und
Kontrollbehandlungen verglichen. Dabei hatte eine alleinige 24-stündige HF-EMF-Exposition keinen
Einfluss auf die Vitalität der Zellkulturen, wohingegen die höhere Konzentration der Russpartikel zu
einer Abnahme der Vitalität führte, welche durch die Kombination beider Faktoren noch verstärkt
wurde. Expositionen von 72 Stunden zeigten das gleiche Muster, wobei aber bei der tieferen
Konzentration von Russpartikeln der verstärkte Effekt durch die Kombination nicht festgestellt wurde
und auch das HF-EMF alleine zu einer leichten Reduktion der Vitalität der Kulturen führte. In
Übereinstimmung mit diesen Beobachtungen wurden auch leichte Veränderungen des Apoptose-
Markers Caspase 3 festgestellt. Im Weiteren wurde untersucht, wie sich die Exposition auf die
Entzündungsreaktion auswirkt. Dazu wurden entsprechende Marker für Entzündungen wie TNFα
(«tumor necrosis factor α), IL-1β (Interleukin-1β) und Stickstoffmonoxid (NO) gemessen. Im Vergleich
zur tieferen Russpartikeldosis löste die 24-stündige HF-EMF-Exposition einen ausgeprägteren Anstieg
der Entzündungsmarker aus, und die Kombination beider Umweltfaktoren führte zu einer Verstärkung
der NO-Bildung, aber nicht zu mehr TNFα und IL-1β. Für die NO-Analyse wurden zusätzlich noch
Lipopolysaccharide (LPS) aus Bakterienzellwänden verwendet, um die Immunreaktion zu forcieren. Die
Veränderungen dieser Immunparameter schlugen sich auch auf die Fressaktivität (Phagozytose) der
Makrophagen nieder. So nahmen die HF-EMF-exponierten Zellen signifikant mehr der Russpartikel auf
als die nicht befeldeten Kontroll-Zellen.
Die Beobachtungen dieser Publikation sind insofern von Bedeutung, weil eine Kombination von
verschiedenen Umwelteinflüssen einem realistischen Expositions-Szenario entspricht. In unserem
täglichen Leben treten unzählige Umweltfaktoren gleichzeitig auf, und deren Wechselwirkungen
spielen eine wichtige Rolle bei der Reaktion beziehungsweise Bewältigung dieser Stresssituationen.
Diesbezüglich diskutieren die Autoren, dass die HF-EMF-Exposition durch Aktivierung von Signalwegen
eine Entzündungsreaktion angekurbelt und zu verlängerten Fressaktivitäten der Makrophagen geführt
hat, was unter Umständen die Effizienz des Immunsystems verändern könnte. Allerdings gibt es einige
Unsicherheiten technischer und methodischer Natur, die noch beseitigt werden müssen, um die
Schlussfolgerungen dieser Studie zu konsolidieren. So scheinen sich einige Fehler in den Abbildungen
eingeschlichen zu haben, und die Kontrollbedingungen sollten rigoroser durchgeführt werden, um
mögliche verfälschende Nebeneffekte ausschliessen zu können. Nichtsdestotrotz liefert diese Studie 
wichtige Hinweise bezüglich einer Beeinflussung der Immunreaktion durch HF-EMF, ausgelöst durch
andere Umweltfaktoren.</t>
  </si>
  <si>
    <t>Sueiro-Benavides RA, Leiro-Vidal JM, Salas-Sánchez AÁ, Rodríguez-González JA, Ares-Pena FJ, López-Martín ME</t>
  </si>
  <si>
    <t>Radiofrequency at 2.45 GHz increases toxicity, pro-inflammatory and preapoptotic activity caused by black carbon in the RAW 264.7 macrophage cell line</t>
  </si>
  <si>
    <t>Sci Total Environ</t>
  </si>
  <si>
    <t>https://pubmed.ncbi.nlm.nih.gov/33071139/</t>
  </si>
  <si>
    <t>Eggert T, Dorn H, Sauter C, Schmid G, Danker-Hopfe H</t>
  </si>
  <si>
    <t>RF-EMF exposure effects on sleep - Age doesn't matter in men!</t>
  </si>
  <si>
    <t>Environ Res.</t>
  </si>
  <si>
    <t>https://pubmed.ncbi.nlm.nih.gov/32931791/</t>
  </si>
  <si>
    <t>Wenig Hinweise auf Auswirkungen von hochfrequenten elektromagnetischen Feldern auf den Schlaf von gesunden jüngeren und älteren Männern</t>
  </si>
  <si>
    <t>In dieser Studie wurde untersucht, ob mögliche Auswirkungen von HF-EMF bei Männern
altersabhängig sind. Dazu wurden Daten von drei doppelblind und randomisiert durchgeführten
Experimenten analysiert. Je 30 jüngere (Durchschnittsalter 25.5 Jahre; 2 Gruppen) und ältere
(Durchschnittsalter 69.1 Jahre) Männer wurden für 30 Minuten vor dem Schlafen und während der
ganzen Nacht zwei Arten von HF-EMF und einer Kontrollbedingung ohne Feld ausgesetzt. Bei den HFEMF-
Bedingungen handelte es sich um GSM900 (Global System for Mobile Communications;
Trägerfrequenz 915 MHz, Modulation 217 Hz, Duty Cycle 0.125, SAR 2 W/kg) und TETRA (Terrestrial
Trunked Radio; Trägerfrequenz 385 MHz, Modulation 17.6 Hz, Duty Cycle 0.25, SAR 6 W/kg).
Schlafdaten von je neun Nächten (drei Blöcke mit drei Bedingungen) wurden pro Proband registriert.
In der Kontrollbedingung zeigten sich klare physiologische Schlafunterschiede zwischen jüngeren und
älteren Männern, wie sie zu erwarten waren (wie z.B. kürzere Schlafzeiten, längere Einschlaflatenz,
fragmentierterer Schlaf, geringere Schlafeffizienz, weniger Tiefschlaf bei den Älteren). Die TETRAExposition
führte in beiden Altersgruppen zu einer signifikanten Verkürzung der Schlaflatenz (Dauer
bis zum konsolidierten Schlaf), was als schlaffördernder Effekt betrachtet werden kann. GSM900-
Exposition hatte keine Auswirkung auf objektive Schlafparameter. In zwei von vier subjektiven
Schlafparametern (Schlafdauer und die Anzahl Wachphasen) wurde eine schwache Interaktion
zwischen Alter und GSM900 Exposition beobachtet.
Die Studie zeigte generell kaum Auswirkungen von HF-EMF auf den Schlaf. Die sporadisch
aufgetretenen signifikanten Testresultate können aufgrund der grossen Anzahl durchgeführter
statistischer Tests auch als zufällig interpretiert werden. Die Effektgrössen waren jeweils gering.</t>
  </si>
  <si>
    <t>Cabré-Riera A, Marroun HE, Muetzel R, van Wel L, Liorni I, Thielens A, Birks LE, Pierotti L, Huss A, Joseph W, Wiart J, Capstick M, Hillegers M, Vermeulen R, Cardis E, Vrijheid M, White T, Röösli M, Tiemeier H, Guxens M</t>
  </si>
  <si>
    <t>Choi J, Min K, Jeon S, Kim N, Pack JK, Song K</t>
  </si>
  <si>
    <t>Nimpf S, Nordmann GC, Kagerbauer D, Malkemper EP, Landler L, Papadaki-Anastasopoulou A, Ushakova L, Wenninger-Weinzierl A, Novatchkova M, Vincent P, Lendl T, Colombini M, Mason MJ, Keays DA</t>
  </si>
  <si>
    <t>Estimated whole-brain and lobe-specific radiofrequency electromagnetic fields doses and brain volumes in preadolescents</t>
  </si>
  <si>
    <t>Continuous Exposure to 1.7 GHz LTE Electromagnetic Fields Increases Intracellular Reactive Oxygen Species to Decrease Human Cell Proliferation and Induce Senescence</t>
  </si>
  <si>
    <t>A Putative Mechanism for Magnetoreception by Electromagnetic Induction in the Pigeon Inner Ear</t>
  </si>
  <si>
    <t>Environ Int</t>
  </si>
  <si>
    <t>Sci Rep</t>
  </si>
  <si>
    <t>Curr Biol</t>
  </si>
  <si>
    <t>https://pubmed.ncbi.nlm.nih.gov/32554140/</t>
  </si>
  <si>
    <t>https://pubmed.ncbi.nlm.nih.gov/32514068/</t>
  </si>
  <si>
    <t>https://www.ncbi.nlm.nih.gov/pubmed/31735675</t>
  </si>
  <si>
    <t>Hochfrequente elektromagnetische Felder und Gehirnvolumen bei Kindern im Vorpubertätsalter</t>
  </si>
  <si>
    <t>In der niederländischen Generation-R-Studie wurde bei 2'592 Kindern im Alter von neun bis zwölf
Jahren untersucht, ob es einen Zusammenhang zwischen der HF-EMF-Exposition und dem Volumen
von verschiedenen Gehirnarealen gibt. Das Gehirnvolumen aller Studienteilnehmenden wurde
zwischen 2013 und 2015 mittels Magnetresonanz-Tomographie (MRI) bestimmt. Die Nutzung von
drahtlosen Kommunikationsgeräten (Mobil- und Schnurlostelefone, sowie Gebrauch von Tablets und
Laptops mittels WLAN) wurde von den Eltern erfragt. Exposition durch Rundfunksender und
Mobiltelefonbasisstationen wurde für den Schul- und Wohnort modelliert. Die Exposition an anderen
Orten wurde anhand von persönlichen HF-EMF-Messungen in einer Stichprobe von 56 Kindern
abgeschätzt. Basierend auf all diesen Expositionsinformationen wurde die absorbierte HF-EMF-Dosis
für verschiedene Gehirnareale berechnet. Die statistischen Analysen wurden für eine Vielzahl von
möglichen Störgrössen korrigiert (z.B. mütterliche Bildung und Rauchverhalten oder BMI und
Intelligenzquotienten des Kindes). Der Medianwert der täglichen EMF-Dosis des Gehirns betrug 84.3
mJ/kg. Davon stammten 62% von Mobil- und Schnurlostelefonanrufen, 17% von Bildschirmaktivitäten
mit mobilen Geräten und 21% von Fernfeldquellen (Mobilfunk- und DECT-Basisstationen,
Rundfunksender, WLAN-Zugangspunkte). Das Volumen aller untersuchten Gehirnareale war weder
mit der gesamten absorbierten EMF-Dosis noch mit derjenigen von Fernfeldquellen assoziiert.
Hingegen war die EMF-Dosis durch Bildschirmaktivitäten signifikant mit einem kleineren Volumen des
Frontallappens und des Nucleus caudatus assoziiert. Die Autoren schliessen daraus, dass nicht EMF,
aber möglicherweise andere Faktoren, welche mit intensiver Bildschirmnutzung zusammenhängen,
einen Effekt auf diese Gehirnareale haben könnten. Störfaktoren (Confounding), Zufall oder
umgekehrte Kausalität könnten aber als alternative Erklärungen nicht ausgeschlossen werden.
Es handelt sich um eine grosse Studie mit akkuraten Daten zum Volumen verschiedener Gehirnareale,
welche im Rahmen des EU-Projektes Geronimo erhoben wurden. Es ist eine der wenigen Studien,
welche die EMF-Dosis des Gehirns abgeschätzt hat. Dies ist aussagekräftiger als wenn nur die Nutzung 
von EMF-emittierenden Quellen analysiert wird. Dennoch sind grosse Unsicherheiten bei einer solchen
Abschätzung unvermeidlich. Der Frontallappen ist wichtig für die Impulskontrolle. Die Basalganglien,
zu denen auch der Nucleus caudatus gehört, leiten physiologische und kognitive Prozesse ein: sie
bilden einen Filterprozess in der Regelschleife motorischer Bewegungen, indem sie erwünschte und
mögliche Bewegungen zulassen und unerwünschte oder in der gegebenen Situation nicht mögliche
Bewegungen unterbinden. Dadurch wird die spontane Aktivität des Organismus moduliert. Die
Basalganglien erhalten Informationen aus allen Bereichen der Hirnrinde (Kortex) und geben
Informationen weiter über den Thalamus zum prämotorischen und frontalen Kortex. Dieser Weg dient
der schnellen und koordinierten Regulation von Abläufen unbewusster, automatisierter,
feinmotorischer Bewegungen. Ein verkleinerter Nucleus caudatus wurde in einer früheren Studie2 bei
Kindern im Vorpubertätsalter in Zusammenhang mit ADHS gebracht. Hier könnten ähnliche
Verschaltungsmuster wie bei Tic-Störungen vorliegen, nur, dass bei ADHS nicht ein bestimmtes
Verhaltensmuster falsch prozessiert wird, sondern eine generelle inadäquate Filterfunktion vorliegt, in
der redundantes oder „unangebrachtes“ Verhalten erregt wird (Hyperaktivität), während neue
Verhaltenspläne fehlerhaft gehemmt werden (Aufmerksamkeitsdefizit). Von daher wäre es plausibel,
dass die verkleinerten Gehirnareale die Ursache und nicht die Folge einer intensiven
Bildschirmnutzung sind.</t>
  </si>
  <si>
    <t>Magnetorezeption im Innenohr von Tauben</t>
  </si>
  <si>
    <t>Es gibt Tierarten, die magnetische Felder wahrnehmen und zu ihrer Orientierung nutzen können. Dazu
sind verschiedene Mechanismen diskutiert worden, aber es ist noch wenig bekannt, ob und wo es in
diesen Tieren Zielstrukturen gibt, die statische Magnetfelder erkennen können. In der Studie von
Nimpf et al. (2019) wurde untersucht, ob Tauben im Innenohr Strukturen besitzen, die statische
magnetische Felder erkennen. Ziel war zu zeigen, dass bestimmte Strukturen und Zellen im Innenohr
Magnetfelder unabhängig von Lichtsignalen detektieren. Magnetische Reize (150 μT, stufenweise
rotierend um 360°) aktivieren Nervenzellen im hinteren Vestibularkern bei Tauben, die in Helmholtz-
Spulen exponiert wurden. Diese Stimuli führen zu Spannung in einem semizirkulären Kanal, und
elektrosensible Sensoren erkennen Magnetfelder durch elektromagnetische Induktion. Als Biomarker
wurden neuronale Aktivitätsmarker wie das Protein C-FOS verwendet, das sehr schnell auf eine
Vielzahl von Reizen anspricht. Es wurde gezeigt, dass Magnetfeldstimulation zu sogenannten "Spikes"
(1.4 μV) in kanalartigen Strukturen in Zellen des Innenohrs führt und somit der Wahrnehmung von
Magnetfeldern dient. Es handelt sich um einen spannungsabhängigen Kalziumkanal (Cav1.3, lange
Form), der bereits bei Haien und Rochen gefunden wurde. Eine bestimmte Ausrichtung des
Magnetfeldes ist notwendig für die Detektion. Neben experimentellen Untersuchungen wurden auch
theoretische Berechnungen durchgeführt. Die Erkennung des Magnetfeldes konnte unabhängig von
Licht-Stimuli nachgewiesen werden.
Diese neuen Befunde sind interessant, da sie vorhergegangene Studien untermauern und
unterstützen, dass es Strukturen im Innenohr gibt, die lichtunabhängig elektrische Aktivitäten
erkennen können. Nachfolgend könnten folgende Experimente durchgeführt werden, die weitere
Beweise liefern: 1. Pharmakologische Beeinflussung der Kalziumkanäle, 2. Ablation (gezielte
Zerstörung) der Haarzellen1 mit Antibiotika und/oder 3. Genetische Manipulation des Kalziumkanals.</t>
  </si>
  <si>
    <t>Förderung der Zellalterung durch hochfrequente EMF (LTE-Signal)?</t>
  </si>
  <si>
    <t>In dieser Studie setzten Choi et al. (2020) ein moduliertes hochfrequentes EMF ein, über das es noch
nicht allzu viele experimentelle Daten gibt. Die Autoren verwendeten ein typisches LTE-Signal (Long
Term Evolution: mobiles 4G-Netzwerk) auf einer 1.7 GHz-Trägerfrequenz und untersuchten dessen
Einfluss auf verschiedene Aspekte der Vitalität und Vermehrung von kultivierten Zellen. In ihren
Experimenten wurden verschiedene Arten von Zellen unterschiedlicher Gewebe-Herkunft jeweils für
3 Tage diesem HF-EMF bei berechneten SAR-Werten von 1 und 2 W/kg ausgesetzt. Zuerst haben die
Autoren festgestellt, dass verglichen zu den Kontrollpopulationen ohne Bestrahlung die dreitägige
Exposition in Abhängigkeit der Dosis zu einer Reduktion der Zellvermehrung von ca. 10-90% führte.
Dabei waren im Allgemeinen die Effekte in Krebszellen stärker ausgeprägt als beispielsweise in
Stammzellen aus dem Fettgewebe oder Fibroblasten der Haut. Des Weiteren wurde versucht, die
Ursache für die beobachteten Effekte zu finden. So wurde eine Rolle von oxidativem Stress und der
Bildung von ROS postuliert, da die Effekte durch Zugabe eines Neutralisators von ROS abgeschwächt
werden konnten. Die Reduktion der Zellvermehrung durch die LTE-Exposition wurde gemäss den
Befunden der Autoren weder durch einen schädigenden Einfluss auf das Genom noch durch das
Auslösen von programmiertem Zelltod (Apoptose) verursacht, sondern durch eine Verstärkung des
Zellalterungsprozesses (Seneszenz). So wurde in den exponierten Kulturen ein höherer Anteil von
Zellen mit Biomarkern für Seneszenz gefunden, einhergehend mit einer Verlangsamung des Zellzyklus.
Dass sich eine Exposition mit einem HF-EMF auf den Zellalterungsprozess auswirken könnte, wurde bis
anhin in wissenschaftlichen Studien selten erwähnt beziehungsweise untersucht. Insofern sind die
konsistenten beobachteten Effekte in verschiedenen Zellarten in dieser methodisch ansprechenden
und biologisch durchdachten Studie von Choi et al. (2020) bemerkenswert. Zu beachten gilt aber, dass
ein neues und kaum validiertes Expositionsgerät eingesetzt wurde, dass zwar eine gute
Temperaturkontrolle erlaubt, jedoch Fragen bezüglich der Feldhomogenität offenlässt und
möglicherweise eine Unterschätzung der berechneten SAR-Werte stattgefunden hatte.
Nichtsdestotrotz liefern diese Beobachtungen Hinweise, um den Aspekt der Zellalterung in Bezug auf
HF-EMF-Exposition weitergehend zu untersuchen.</t>
  </si>
  <si>
    <t>Modulierte hochfrequente EMF und der Einfluss auf das Genom</t>
  </si>
  <si>
    <t>In der in vitro Studie von Schuermann et al. (2020) wird der Einfluss von modulierten HF-EMF-Signalen,
die in kabellosen Kommunikationssystemen zum Einsatz kommen, auf Schädigung und Reparatur der
DNS systematisch untersucht. Verwendet wurden in erster Linie primäre humane Lungenfibroblasten
und eine Trophoblasten-Zelllinie, die in Intervallen (5/10 Min an/aus) mit verschiedenen Modulationen
einer 1.95 GHz Trägerfrequenz (GSM/2G, UMTS/3G, WiFi, RFID/«Funketikett») bei 0.5, 2 und 4.9 W/kg
SAR exponiert wurden. Die Schädigung der DNS wurde mittels Kometenanalyse nach 1, 4 und 24
Stunden Exposition analysiert, wobei bei keiner dieser Bedingungen ein signifikanter Anstieg
beobachtet wurde. Dabei wurden Schlüsselexperimente unabhängig in zwei Forschungsgruppen
durchgeführt, um mögliche Nebeneinflüsse zu vermeiden. Im Rahmen dieser Untersuchungen konnten
ältere positive Befunde der REFLEX-Studie1 und einer anderen Studie2 (DNS-Schäden durch ein GSMSignal),
die der Auslöser und Ausgangspunkt für diese Studie waren, nicht bestätigt werden
beziehungsweise nicht schlüssig wiederholt werden. Um die Nachweisschwelle der Kometenanalyse
zu reduzieren, wurden auch experimentelle Ansätze angewandt, die oxidative und andere Arten von
nicht-reparierten DNS-Schäden sichtbar machen.
Da Schäden an der Erbsubstanz auch durch einen Einfluss der HF-EMF-Exposition auf die DNSReparatur-
und Vervielfältigungsmechanismen entstehen könnten, wurden diese auch punktuell
untersucht, ohne aber signifikante und reproduzierbare Unterschiede festzustellen. Einzig wenn die
Fibroblasten-Zellen für eine Stunde gleichzeitig einem UMTS-Signal (SAR 4.9 W/kg) und einer
bekannten DNS-schädigenden und dadurch krebserregenden Substanz (Ethylmethansulfonat - EMS)
ausgesetzt waren, wurden in der Kombination beider Faktoren signifikant höhere DNS-Schäden
festgestellt. Dieser Effekt war aber nicht feststellbar, wenn die HF-EMF-Exposition vorgängig und
länger als die EMS-Behandlung war. Dies deutet darauf hin, dass sich die Zellen relativ schnell an die
Gegebenheiten anpassen können und Schutzmassnahmen aktiv werden (adaptive Reaktion). Da keine
Hinweise auf Effekte oberhalb der Nachweisschwellen der experimentellen Ansätze für eine Vielzahl
getesteter Expositionsbedingungen gefunden wurden, schlussfolgern die Autoren aus ihren Daten,
dass es unwahrscheinlich ist, dass es durch die HF-EMF-Signale zu einer direkten oder indirekten
Schädigung der Erbsubstanz kommt. Allerdings könnten zusätzliche und nicht identifizierte
Stressfaktoren unter gewissen experimentellen Bedingungen dazu führen, dass Anzeichen für Einflüsse
auf das Genom entstehen oder verstärkt werden.</t>
  </si>
  <si>
    <t>Langzeitexposition mit hochfrequenten elektromagnetischen Feldern bei Ratten und Wirkungen auf
oxidativen Stress, DNS-Schädigung im Gehirn und Gedächtnisleistung</t>
  </si>
  <si>
    <t>In dieser in vivo Studie wurden Effekte von HF-EMF auf oxidativen Stress, DNS-Schädigung im Gehirn,
sowie Gedächtnisleistung bei Ratten untersucht. Männliche Ratten des Inzucht-Stammes Wistar
wurden 90 Tage lang für 1, 2 oder 4 Stunden pro Tag exponiert (900 MHz, durchschnittliche SAR im
Gehirn: 0.231 W/kg). Die Studie wurde unter kontrollierten Bedingungen (Temperatur, Klima, Licht)
durchgeführt. SAR-Werte wurden von der elektrischen Feldstärke in einem Meter Distanz abgeschätzt.
Neben verschiedenen Untersuchungen zu oxidativem Stress und Acetylcholinesterase (einem Enzym,
das an der neuronalen Übertragung beteiligt ist) wurden auch kognitive Funktionen (Geschwindigkeit
und Effizienz, die Belohnung oder das Futter zu finden) nach HF-EMF- oder Schein-Exposition
untersucht. Nach HF-EMF-Exposition waren deutliche kognitive Defizite erkennbar, die mit längerer
täglicher Expositionsdauer anstiegen. Die Enzyme Catalase und Superoxid-Dismutase, welche
oxidativem Stress entgegensteuern, waren expositionszeitabhängig signifikant reduziert, während die
Lipidperoxidation (oxidative Degradation von Lipiden, die zur Zellmembranschädigung und somit zur
Zellschädigung führen kann) zeitabhängig anstieg; der höchste Wert wurde nach 4-stündiger
Exposition pro Tag erreicht. Gleichzeitig waren die Redoxenzyme Glutathion-S-Transferase (GST),
Glutathion-Peroxidase (GPx) und Reduktase (GR), sowie Glukose-6-Phosphatdehydrogenase (G-6PDH)
reduziert.
Die Autoren führen die Verminderung der Acetylcholinesterase, sowie die verminderte
Gedächtnisleistung der HF-EMF-exponierten Ratten auf vermehrten oxidativen Stress zurück. Wird die
Zunahme des oxidativen Stresses bei Exposition nicht kompensiert, kann es zu neurodegenerativen
Erkrankungen im Gehirn und/oder zu einer vermehrten neuronalen Aktivität kommen, die zu
Konvulsionen (Epilepsie) führen kann. Eine Schwäche der Studie ist die Berechnung der SAR, welche
mit grossen Unsicherheiten behaftet ist.</t>
  </si>
  <si>
    <t>Schlafen neben einem Router: keine schlafstörenden Auswirkungen von Wi-Fi-Exposition</t>
  </si>
  <si>
    <t>In der Öffentlichkeit wird immer wieder die Sorge geäussert, dass nächtliche Wi-Fi-Exposition durch
WLAN-Router zu Schlafstörungen führt. Die Studie von Danker-Hopfe et al. (2020) ist eine erste
experimentelle Studie an Menschen, welche die Auswirkungen von einem während der ganzen Nacht
emittierenden Wi-Fi-Router auf den Schlaf untersucht hat. An der Studie nahmen 34 gesunde junge
Männer im Alter von 20-30 Jahren teil, die während des Schlafs einer Wi-Fi- (2.45 GHz) oder
Scheinexposition ausgesetzt wurden. Auf eine Kontrollnacht folgte jeweils eine Nacht mit Real- oder
Scheinexposition, und das Ganze wurde nach einer Woche mit der anderen Bedingung wiederholt
(doppelblind und randomisiert). Die Exposition bestand aus einem Wi-Fi-Signal, wobei sich
Datenverkehr unterschiedlicher Intensität mit Suchfunk ohne Datenverkehr («beacon only»)
abwechselte. Die maximale lokale SAR war &lt;25 mW/kg und der zeitliche Mittelwert über 6 Minuten
lag bei 6.4 mW/kg. Dies entspricht einer eher starken Wi-Fi-Exposition, ist aber in einer häuslichen
Umgebung immer noch realistisch.
Subjektive und objektive Schlafparameter wurden durch eine Ganznacht-Wi-Fi-Exposition nicht
beeinflusst. Auch die Aufwachreaktionen (Arousals) unterschieden sich nicht zwischen den beiden
Expositionsbedingungen. Lediglich in der 2. Nachthälfte war der Anteil vom Non-REM-Schlafstadium 1
(leichter Schlaf) leicht erhöht. Die Analyse der spektralen Zusammensetzung des Non-REM-Schlaf-EEGs 
zeigte eine leichte Reduktion der Leistung im Alphabereich nach Wi-Fi-Exposition. Diese Verminderung
ist aber kein Hinweis auf gestörten Schlaf und die Effektgröße war klein. Zudem wurden keine
Korrekturen für multiples Testen angewendet, so dass es sich auch um einen Zufallsbefund handeln
könnte. Zusammenfassend kann festgestellt werden, dass das Schlafen neben einem WLAN-Router
keine schlafstörenden Auswirkungen zur Folge hatte. Einschränkend für die Interpretation ist, dass nur
junge gesunde Männer untersucht wurden, die nicht über eine WLAN-Exposition besorgt waren, und
dass die Beobachtung auf eine einzige Nachtexposition beschränkt war.</t>
  </si>
  <si>
    <t>Hirntumoren und Distanz zu Hochspannungsleitungen am Wohnort</t>
  </si>
  <si>
    <t>Im Rahmen der französischen CERENAT-Fall-Kontroll-Studie wurde untersucht, ob Personen mit
Wohnort in der Nähe einer Hochspannungsleitung öfters an einem Hirntumor erkranken. Es wurden
273 Glioma-und 217 Meningiomapatienten, welche zwischen 2004 und 2006 in Frankreich
diagnostiziert wurden, eingeschlossen (Teilnahmerate: 73%). Insgesamt 980 Kontrollpersonen
(Teilnahmerate: 45%) wurden zufällig aus Wahlregistern ausgewählt. Für die Bestimmung der
Exposition wurde die geokodierte Distanz zur nächsten Hochspannungsleitung (&lt;45 kV bis 400 kV)
verwendet, wobei keine Unterscheidung zwischen Freileitungen und Kabeln gemacht wurde. Es wurde
sowohl die Dauer der Exposition (kumulative Wohnsitzzeit) in einem 50-Meter-Korridor um
Hochspannungsleitungen berechnet sowie ein Expositionskorridor festgelegt, in dem die Exposition
höher als 0.3 μT sein könnte (für 63 kV: 60 m; für90 kV: 80 m; für 150 kV: 100 m; für 225 kV: 150 m;
für 400 kV: 200 m). Bei der Datenanalyse wurden verschiedene mögliche Risikofaktoren berücksichtigt
(Geschlecht, Alter, Bildung, Tabak- und Alkoholkonsum, Pestizidexposition, häusliche
Magnetfeldexposition und Mobiltelefongebrauch). Acht Prozent der Studienteilnehmenden lebten
zumindest einmal in einem 0.3-μT-Expositionskorridor, und fünf Prozent innerhalb von 50 m von einer
Hochspannungsleitung. Die verschiedenen Analysen deuten mehrheitlich auf einen Zusammenhang
zwischen niederfrequenter Magnetfeldexposition und dem Auftreten von Hirntumoren hin, wobei die
Anzahl exponierter Fälle klein ist und die Risikoschätzer eine grosse Unsicherheit (Konfidenzintervall,
KI)3 aufweisen. Zum Beispiel war das Risiko für einen Hirntumor für Personen, welche mehr als 15 Jahre
in der Nähe von einer Hochspannungsleitung wohnten, basierend auf 7 Patienten 4.33-fach erhöht
(Konfidenzintervall: 1.11–16.9).
Grundsätzlich ist Distanz zur Hochspannungsleitung ein geeignetes Expositionsmass, wie in der kürzlich
publizierten Analyse von Amoon et al. (2020)4 gezeigt wurde. Der Vorteil dieses Ansatzes ist, dass auch
andere Faktoren im Zusammenhang mit Hochspannungsleitungen erfasst würden wie zum Beispiel das
elektrische Feld oder elektrisch geladene Ionen aufgrund von Koronaentladungen bei
Höchstpannungsleitungen.5 In dieser Studie ist jedoch ein Schwachpunkt, dass bei 30% der 
Teilnehmenden die Koordinaten des Wohnorts unbekannt waren und dafür der Standort der
Gemeindeverwaltung eingesetzt wurde. Das hätte aber keinen Einfluss auf die Resultate gehabt
(Resultate werden nicht gezeigt). Die fehlende Unterscheidung zwischen Freileitungen und Kabel ist
ein weiterer Unsicherheitsfaktor. Die Teilnahmerate bei den Kontrollen ist mit 45% relativ gering, was
ein potentielles Risiko für Bias ist. Die kleine Anzahl exponierter Personen macht die Studie anfällig für
Zufallsbefunde. Es ist davon auszugehen, dass ein erhöhtes Risiko um den Faktor vier in
Zusammenhang mit allen Hochspannungsleitungen schon in früheren Studien entdeckt worden wäre.
So konnte eine viel grössere Studie aus England6 basierend auf 6’781 Hirntumorpatienten und 20’343
Kontrollpersonen kein erhöhtes Hirntumorrisiko nachweisen für Personen, welche innerhalb von 50 m
von einer Höchstspannungsleitung (≥275 kV) wohnten (OR7=1.22, 95% KI8: 0.88-1.69) oder höher als 1
μT exponiert waren (OR=1.02, 95% KI 0.47-2.22) bzw. zwischen 0.40 und 0.99 μT (0.92, 95% KI: 0.54-
1.55).</t>
  </si>
  <si>
    <t>Handynutzung und selbstberichtete Schlafqualität in der COSMOS Studie</t>
  </si>
  <si>
    <t>Im Newsletter Nr. 20 wurden erste Ergebnisse der COSMOS-Kohortenstudie zu Mobiltelefonnutzung
und dem Auftreten von Kopfschmerzen, Tinnitus und Hörverlust vorgestellt (Auvinen et al. 2019)9. In
einer zweiten Publikation wurden nun mögliche Zusammenhänge zwischen Mobiltelefonnutzung und
selbstberichteter Schlafqualität untersucht (Tettamanti et al. 2020). Wiederum wurden Daten von
über 24'000 Teilnehmenden aus Schweden und Finnland in die Analyse eingeschlossen. Dabei wurden
Daten zur Mobiltelefonnutzung bereits zu Beginn der Studie mittels Fragebogen erfasst. Zusätzlich
wurden bei Studienbeginn während drei Monaten objektive Daten zur Gesprächsdauer auf dem GSM-
(2G) und UMTS- (3G) Netz von den Mobilfunkanbietern gesammelt. Am Anfang der Studie und vier
Jahre später füllten die Studienteilnehmer einen Schlaffragebogen aus zu Schlafstörungen, adäquater
Schlafdauer, Tagesschläfrigkeit, Einschlafzeit und Schlaflosigkeit. Die Teilnehmergruppe mit den
längsten Gesprächszeiten (&gt;258 Minuten/Woche) hatte ein höheres Risiko für Schlaflosigkeit als
Wenig-Telefonierende (OR=1.24, 95% Konfidenzintervall: 1.03-1.51). Wurde in den Analysen
berücksichtigt, dass bei Nutzung des UMTS-Netzes weniger Strahlung emittiert wird als beim GSMNetz,
war der Zusammenhang weniger ausgeprägt. Für die anderen Aspekte der Schlafqualität wurden
keine signifikanten Assoziationen mit der Mobiltelefonnutzung beobachtet.
Grosse Stärken dieser Studie sind neben dem erwähnten prospektiven Ansatz die sehr grosse Anzahl
von Studienteilnehmenden und die Verwendung von objektiven Daten der Mobilfunkanbieter. Dass
der Zusammenhang mit Schlaflosigkeit eher mit der Nutzungsdauer als mit der Höhe der
Strahlungsemissionen korrelierte, spricht laut Autoren dafür, dass andere Faktoren als HF-EMF für den 
beobachteten Zusammenhang relevant sein könnten. Solche Faktoren könnten zum Beispiel Stress,
starke Belastung, problematischer Mobiltelefongebrauch, spätere Bettzeiten wegen
Mobiltelefongebrauch, Blaulichtemissionen von den Bildschirmen oder andere Verhaltensfaktoren
sein.</t>
  </si>
  <si>
    <t>Dosimetrische Studie</t>
  </si>
  <si>
    <t>Hochfrequente elektromagnetische Felder und Honigbienen</t>
  </si>
  <si>
    <t>In ihrer Studie untersuchen Thielens et al. (2020) mittels numerischer Simulationen die Absorption von
HF-EMF in Honigbienen. Der betrachtete Frequenzbereich lag zwischen 600 MHz und 120 GHz. Fünf
verschiedene Modelle von Honigbienen, zwei Arbeiterbienen, eine Drohne, eine Larve und eine
Königin wurden mittels Mikro-CT-Bildern erzeugt. Dabei wurden die Umrisse der verschiedenen
Bienen segmentiert. Die Simulationen wurden mit Messungen in der Nähe von Bienenstöcken in
Belgien kombiniert, um eine möglichst realistische Abschätzung der Exposition und der absorbierten
Leistung in Honigbienen zu berechnen. Die grösste Zunahme der absorbierten Leistung in den
verschiedenen Bienenmodellen ist zwischen 600 MHz und 6 GHz. Bei höheren Frequenzen sinkt die
absorbierte Leistung wieder leicht ab. Der Unterschied in der absorbierten Leistung kann bei den
Modellen abhängig von den Absorptionsquerschnitten zwischen 600 MHz und 6 GHz einen Faktor
zwischen 16 und 121 betragen. Der Wert der absorbierten Leistung bewegt sich für 1 V/m elektrischer
Feldstärke zwischen nW-Bereich bei 600 MHz bis zu Bruchteilen von μW bei 6 GHz. In der Nähe der
Bienenstöcke wurden Feldstärken zwischen 0.016 und 0.2 V/m gemessen. Basierend auf einer
gleichmässigen Verteilung der Feldstärke über den gesamten Frequenzbereich wurde der Frage
nachgegangen, inwiefern sich die absorbierte Leistung in den Bienen verändert, wenn sich die
genutzten Frequenzen für den Mobilfunk von unterhalb 3 GHz zu Frequenzen über 3 GHz verschieben.
Für eine Verschiebung von 10% der spektralen Anteile von unter 3 GHz zu Frequenzen über 3 GHz
würde eine Zunahme der absorbierten Leistung um einen Faktor 3-5 resultieren. Ein solcher Wechsel
zu höheren Frequenzen wird in naher Zukunft erwartet.
Die Autoren weisen selber auf verschiedene Limitierungen dieser ersten Studie zur
Mobilfunkstrahlenabsorption bei Bienen hin. Einerseits wurden keine dielektrischen Messungen und
keine thermischen Messungen der Gewebeparameter von Bienen durchgeführt, sondern basierend
auf Literaturwerten und Extrapolationen bestimmt. Bei den Modellen handelt es sich um homogene
Tiere, d.h. die Strukturen (z.B. Organe) wurden nicht unterschieden. Für die numerischen Simulationen
wurde ein FDTD-basierte10 Simulationsplattform verwendet, mit den bekannten Einschränkungen
bezüglich Genauigkeit. Es wurden bisher auch noch keine Berechnungen zu der resultierenden
Temperaturzunahme durch die absorbierte Leistung angestellt. Wie bei allen Simulationsstudien stellt
sich auch hier die Frage, inwiefern die Resultate durch Messungen bestätigt werden können. Bei
Bienen stellt das eine fast unlösbare Aufgabe dar. Auch wenn die publizierten Werte aufgrund dieser
Einschränkungen mit grosser Unsicherheit behaftet sind, ist die Hauptschlussfolgerung der Studie
valide, dass eine Zunahme der Frequenz zwischen 600 MHz und 6 GHZ zu einer höheren absorbierten
Leistung führt. Es sollte aber auch der Frage nachgegangen werden, ab welchen Werten der
eingestrahlten Leistung bei Bienen biologische Auswirkungen auftreten können. Da es sich bei den
Bienen, wie die Autoren als Motivation für die Studie auch angeben, um weltweit ökologisch und
wirtschaftlich wichtige Insekten handelt, ist die Studie ein wichtiger Beitrag zu weiteren Abklärungen
möglicher Auswirkungen elektromagnetischer Felder auf Insekten.</t>
  </si>
  <si>
    <t>Carles C, Esquirol Y, Turuban M, Piel C, Migault L, Pouchieu C, Bouvier G, Fabbro-Peray P, Lebailly P, Baldi I</t>
  </si>
  <si>
    <t>Residential proximity to power lines and risk of brain tumor in the general population</t>
  </si>
  <si>
    <t>https://www.ncbi.nlm.nih.gov/pubmed/32278161</t>
  </si>
  <si>
    <t>Danker-Hopfe H, Bueno-Lopez A, Dorn H, Schmid G, Hirtl R, Eggert T</t>
  </si>
  <si>
    <t>Spending the night next to a router - Results from the first human experimental study investigating the impact of Wi-Fi exposure on sleep</t>
  </si>
  <si>
    <t>ArticleID</t>
  </si>
  <si>
    <t>Int J Hyg Environ Health</t>
  </si>
  <si>
    <t>https://www.ncbi.nlm.nih.gov/pubmed/32408065</t>
  </si>
  <si>
    <t>Schuermann D, Ziemann C, Barekati Z, Capstick M, Oertel A, Focke F, Murbach M, Kuster N, Dasenbrock C, Schär P</t>
  </si>
  <si>
    <t>Assessment of Genotoxicity in Human Cells Exposed to Modulated Electromagnetic Fields of Wireless Communication Devices</t>
  </si>
  <si>
    <t>Genes</t>
  </si>
  <si>
    <t>https://www.ncbi.nlm.nih.gov/pubmed/32218170</t>
  </si>
  <si>
    <t>Sharma S, Shukla S</t>
  </si>
  <si>
    <t>Effect of electromagnetic radiation on redox status, acetylcholine esterase activity and cellular damage contributing to the diminution of the brain working memory in rats</t>
  </si>
  <si>
    <t>J Chem Neuroanat</t>
  </si>
  <si>
    <t>https://www.ncbi.nlm.nih.gov/pubmed/32205214</t>
  </si>
  <si>
    <t>Tettamanti G, Auvinen A, Åkerstedt T, Kojo K, Ahlbom A, Heinävaara S, Elliott P, Schüz J, Deltour I, Kromhout H, Toledano MB, Poulsen AH, Johansen C, Vermeulen R, Feychting M, Hillert L; COSMOS Study Group</t>
  </si>
  <si>
    <t>Long-term effect of mobile phone use on sleep quality: Results from the cohort study of mobile phone use and health (COSMOS)</t>
  </si>
  <si>
    <t>https://www.ncbi.nlm.nih.gov/pubmed/32276731</t>
  </si>
  <si>
    <t>Thielens A, Greco MK, Verloock L, Martens L, Joseph W</t>
  </si>
  <si>
    <t>Radio-Frequency Electromagnetic Field Exposure of Western Honey Bees</t>
  </si>
  <si>
    <t>https://www.ncbi.nlm.nih.gov/pubmed/31949179</t>
  </si>
  <si>
    <t>https://www.bafu.admin.ch/dam/bafu/de/dokumente/elektrosmog/fachinfo-daten/Newsletter%20BERENIS%20Nr.%2023%20-%20DEUTSCH.pdf.download.pdf/Newsletter%20BERENIS%20Nr.%2023%20-%20DEUTSCH.pdf</t>
  </si>
  <si>
    <t>https://www.bafu.admin.ch/dam/bafu/de/dokumente/elektrosmog/fachinfo-daten/newsletter_berenis_nr._24_maerz_2021.pdf.download.pdf/Newsletter%20BERENIS%20Nr.%2024%20-%20M%C3%A4rz%202021.pdf</t>
  </si>
  <si>
    <t>https://www.bafu.admin.ch/dam/bafu/fr/dokumente/elektrosmog/fachinfo-daten/newsletter_berenis_nr._24_maerz_2021.pdf.download.pdf/Newsletter%20BERENIS%20N%C2%B0%2024%20-%20Mars%202021.pdf</t>
  </si>
  <si>
    <t>https://www.bafu.admin.ch/dam/bafu/fr/dokumente/elektrosmog/fachinfo-daten/Newsletter%20BERENIS%20Nr.%2023%20-%20FRANCAIS.pdf.download.pdf/Newsletter%20BERENIS%20Nr.%2023%20-%20FRANCAIS.pdf</t>
  </si>
  <si>
    <t>https://www.bafu.admin.ch/dam/bafu/fr/dokumente/elektrosmog/fachinfo-daten/newsletter-berenis-nr-25.pdf.download.pdf/Newsletter%20BERENIS%20N%C2%B0%2025%20-%20Mai%202021.pdf</t>
  </si>
  <si>
    <t>https://www.bafu.admin.ch/dam/bafu/fr/dokumente/elektrosmog/fachinfo-daten/newsletter_berenisnr6-juni2016.pdf.download.pdf/newsletter_berenisn6-juin2016.pdf</t>
  </si>
  <si>
    <t>Zielgroesse</t>
  </si>
  <si>
    <t>Untersuchungsobjekt</t>
  </si>
  <si>
    <t>Sci Rep.</t>
  </si>
  <si>
    <t>https://pubmed.ncbi.nlm.nih.gov/32647192/</t>
  </si>
  <si>
    <t>Int J Epidemiol.</t>
  </si>
  <si>
    <t>https://www.ncbi.nlm.nih.gov/pubmed/31302690</t>
  </si>
  <si>
    <t>Epub</t>
  </si>
  <si>
    <t>https://www.ncbi.nlm.nih.gov/pubmed/30977029</t>
  </si>
  <si>
    <t>https://www.bafu.admin.ch/dam/bafu/en/dokumente/elektrosmog/fachinfo-daten/newsletter-berenis-nr-25.pdf.download.pdf/Newsletter%20BERENIS%20Nr.%2025%20-%20May%202021.pdf</t>
  </si>
  <si>
    <t>NL_Link_EN</t>
  </si>
  <si>
    <t>https://www.bafu.admin.ch/dam/bafu/en/dokumente/elektrosmog/fachinfo-daten/newsletter_berenis_nr._24_maerz_2021.pdf.download.pdf/Newsletter%20BERENIS%20Nr.%2024%20-%20March%202021.pdf</t>
  </si>
  <si>
    <t>https://www.bafu.admin.ch/dam/bafu/en/dokumente/elektrosmog/fachinfo-daten/Newsletter%20BERENIS%20Nr.%2023%20-%20ENGLISH.pdf.download.pdf/Newsletter%20BERENIS%20Nr.%2023%20-%20ENGLISH.pdf</t>
  </si>
  <si>
    <t>https://www.bafu.admin.ch/dam/bafu/en/dokumente/elektrosmog/fachinfo-daten/newsletter-berenis-nr-19-2019.pdf.download.pdf/Newsletter_BERENIS_Nr._19_-_ENGLISH.pdf</t>
  </si>
  <si>
    <t>https://www.bafu.admin.ch/dam/bafu/en/dokumente/elektrosmog/fachinfo-daten/newsletter-berenis-nr-20-maerz-2020.pdf.download.pdf/Newsletter_BERENIS_Nr20_en.pdf</t>
  </si>
  <si>
    <t>https://www.bafu.admin.ch/dam/bafu/en/dokumente/elektrosmog/fachinfo-daten/newsletter-berenis-13.pdf.download.pdf/Newsletter_BERENIS_Nr_13_-_March_2018_EN.pdf</t>
  </si>
  <si>
    <t>https://www.bafu.admin.ch/dam/bafu/en/dokumente/elektrosmog/fachinfo-daten/newsletter_berenisnr11_september2017.pdf.download.pdf/Newsletter_BERENIS_Nr_11_-_September_2017_EN.pdf</t>
  </si>
  <si>
    <t>https://www.bafu.admin.ch/dam/bafu/en/dokumente/elektrosmog/fachinfo-daten/newsleter_berenisnr8.pdf.download.pdf/Newsletter_BERENIS_Nr._8_-_ENGLISCH.pdf</t>
  </si>
  <si>
    <t>https://www.bafu.admin.ch/dam/bafu/en/dokumente/elektrosmog/fachinfo-daten/newsletter_berenisnr6-juni2016.pdf.download.pdf/newsletter_berenisnr6-june2016.pdf</t>
  </si>
  <si>
    <t>https://www.bafu.admin.ch/dam/bafu/en/dokumente/elektrosmog/fachinfo-daten/newsletter_berenisnr4-dezember2015.pdf.download.pdf/newsletter_berenisnr4-december2015.pdf</t>
  </si>
  <si>
    <t>https://www.bafu.admin.ch/dam/bafu/en/dokumente/elektrosmog/fachinfo-daten/newsletter_berenisnr1-maerz2015.pdf.download.pdf/newsletter_berenisnr1-march2015.pdf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</si>
</sst>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b/>
      <sz val="9"/>
      <color theme="1"/>
      <name val="Arial"/>
      <family val="2"/>
    </font>
    <font>
      <sz val="9"/>
      <color theme="1"/>
      <name val="Arial"/>
      <family val="2"/>
    </font>
    <font>
      <b/>
      <sz val="8"/>
      <color theme="1"/>
      <name val="Arial"/>
      <family val="2"/>
    </font>
    <font>
      <sz val="8"/>
      <color theme="1"/>
      <name val="Arial"/>
      <family val="2"/>
    </font>
    <font>
      <sz val="8"/>
      <color rgb="FF000000"/>
      <name val="Arial"/>
      <family val="2"/>
    </font>
    <font>
      <sz val="8"/>
      <color rgb="FFFF0000"/>
      <name val="Arial"/>
      <family val="2"/>
    </font>
    <font>
      <sz val="8"/>
      <name val="Arial"/>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6"/>
        <bgColor indexed="64"/>
      </patternFill>
    </fill>
    <fill>
      <patternFill patternType="solid">
        <fgColor theme="0" tint="-0.249977111117893"/>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8">
    <xf numFmtId="0" fontId="0" fillId="0" borderId="0" xfId="0"/>
    <xf numFmtId="0" fontId="19" fillId="34" borderId="11" xfId="0" applyFont="1" applyFill="1" applyBorder="1"/>
    <xf numFmtId="0" fontId="19" fillId="38" borderId="11" xfId="0" applyFont="1" applyFill="1" applyBorder="1"/>
    <xf numFmtId="0" fontId="19" fillId="39" borderId="11" xfId="0" applyFont="1" applyFill="1" applyBorder="1"/>
    <xf numFmtId="0" fontId="19" fillId="33" borderId="11" xfId="0" applyFont="1" applyFill="1" applyBorder="1"/>
    <xf numFmtId="0" fontId="19" fillId="0" borderId="11" xfId="0" applyFont="1" applyBorder="1"/>
    <xf numFmtId="0" fontId="19" fillId="39" borderId="11" xfId="0" applyFont="1" applyFill="1" applyBorder="1" applyAlignment="1"/>
    <xf numFmtId="0" fontId="19" fillId="34" borderId="13" xfId="0" applyFont="1" applyFill="1" applyBorder="1"/>
    <xf numFmtId="0" fontId="19" fillId="38" borderId="13" xfId="0" applyFont="1" applyFill="1" applyBorder="1"/>
    <xf numFmtId="0" fontId="19" fillId="39" borderId="13" xfId="0" applyFont="1" applyFill="1" applyBorder="1"/>
    <xf numFmtId="0" fontId="19" fillId="33" borderId="13" xfId="0" applyFont="1" applyFill="1" applyBorder="1"/>
    <xf numFmtId="0" fontId="19" fillId="0" borderId="13" xfId="0" applyFont="1" applyBorder="1"/>
    <xf numFmtId="0" fontId="18" fillId="35" borderId="12" xfId="0" applyFont="1" applyFill="1" applyBorder="1"/>
    <xf numFmtId="0" fontId="18" fillId="37" borderId="12" xfId="0" applyFont="1" applyFill="1" applyBorder="1"/>
    <xf numFmtId="0" fontId="18" fillId="36" borderId="12" xfId="0" applyFont="1" applyFill="1" applyBorder="1"/>
    <xf numFmtId="0" fontId="18" fillId="40" borderId="12" xfId="0" applyFont="1" applyFill="1" applyBorder="1"/>
    <xf numFmtId="0" fontId="18" fillId="0" borderId="12" xfId="0" applyFont="1" applyBorder="1"/>
    <xf numFmtId="0" fontId="0" fillId="0" borderId="0" xfId="0" applyFont="1"/>
    <xf numFmtId="0" fontId="21" fillId="0" borderId="0" xfId="0" applyFont="1" applyBorder="1" applyAlignment="1">
      <alignment vertical="center" wrapText="1"/>
    </xf>
    <xf numFmtId="0" fontId="22" fillId="0" borderId="0" xfId="0" applyFont="1" applyBorder="1" applyAlignment="1">
      <alignment vertical="center" wrapText="1"/>
    </xf>
    <xf numFmtId="0" fontId="21" fillId="0" borderId="0" xfId="0" applyFont="1" applyFill="1" applyBorder="1" applyAlignment="1">
      <alignment vertical="center" wrapText="1"/>
    </xf>
    <xf numFmtId="0" fontId="0" fillId="0" borderId="0" xfId="0" applyFont="1" applyBorder="1" applyAlignment="1">
      <alignment vertical="top" wrapText="1"/>
    </xf>
    <xf numFmtId="0" fontId="0" fillId="0" borderId="0" xfId="0" applyFont="1" applyBorder="1"/>
    <xf numFmtId="0" fontId="23" fillId="0" borderId="0" xfId="0" applyFont="1" applyBorder="1" applyAlignment="1">
      <alignment vertical="center" wrapText="1"/>
    </xf>
    <xf numFmtId="0" fontId="20" fillId="0" borderId="0" xfId="0" applyFont="1" applyFill="1" applyBorder="1" applyAlignment="1">
      <alignment vertical="center" wrapText="1"/>
    </xf>
    <xf numFmtId="0" fontId="0" fillId="0" borderId="0" xfId="0" applyFont="1" applyFill="1"/>
    <xf numFmtId="0" fontId="20" fillId="41" borderId="10" xfId="0" applyFont="1" applyFill="1" applyBorder="1" applyAlignment="1">
      <alignment vertical="center" wrapText="1"/>
    </xf>
    <xf numFmtId="0" fontId="0" fillId="0" borderId="10" xfId="0" applyFont="1" applyBorder="1"/>
    <xf numFmtId="0" fontId="20" fillId="41" borderId="15" xfId="0" applyFont="1" applyFill="1" applyBorder="1" applyAlignment="1">
      <alignment vertical="center" wrapText="1"/>
    </xf>
    <xf numFmtId="0" fontId="22" fillId="0" borderId="14" xfId="0" applyFont="1" applyBorder="1" applyAlignment="1">
      <alignment vertical="center" wrapText="1"/>
    </xf>
    <xf numFmtId="0" fontId="0" fillId="0" borderId="14" xfId="0" applyFont="1" applyBorder="1"/>
    <xf numFmtId="0" fontId="20" fillId="0" borderId="16" xfId="0" applyFont="1" applyFill="1" applyBorder="1" applyAlignment="1">
      <alignment vertical="center" wrapText="1"/>
    </xf>
    <xf numFmtId="17" fontId="19" fillId="39" borderId="11" xfId="0" quotePrefix="1" applyNumberFormat="1" applyFont="1" applyFill="1" applyBorder="1"/>
    <xf numFmtId="0" fontId="20" fillId="41" borderId="10" xfId="0" applyFont="1" applyFill="1" applyBorder="1" applyAlignment="1">
      <alignment horizontal="left" vertical="center" wrapText="1"/>
    </xf>
    <xf numFmtId="0" fontId="20" fillId="41" borderId="10" xfId="0" applyNumberFormat="1" applyFont="1" applyFill="1" applyBorder="1" applyAlignment="1">
      <alignment vertical="center" wrapText="1"/>
    </xf>
    <xf numFmtId="0" fontId="20" fillId="41" borderId="10" xfId="0" applyNumberFormat="1" applyFont="1" applyFill="1" applyBorder="1" applyAlignment="1">
      <alignment horizontal="left" vertical="center" wrapText="1"/>
    </xf>
    <xf numFmtId="0" fontId="18" fillId="36" borderId="12" xfId="0" applyFont="1" applyFill="1" applyBorder="1" applyAlignment="1"/>
    <xf numFmtId="0" fontId="19" fillId="39" borderId="13" xfId="0" applyFont="1" applyFill="1" applyBorder="1" applyAlignment="1"/>
    <xf numFmtId="17" fontId="19" fillId="39" borderId="11" xfId="0" applyNumberFormat="1" applyFont="1" applyFill="1" applyBorder="1"/>
    <xf numFmtId="0" fontId="21" fillId="0" borderId="0" xfId="0" applyFont="1"/>
    <xf numFmtId="0" fontId="21" fillId="0" borderId="0" xfId="0" applyFont="1" applyAlignment="1">
      <alignment horizontal="left"/>
    </xf>
    <xf numFmtId="17" fontId="21" fillId="0" borderId="0" xfId="0" applyNumberFormat="1" applyFont="1" applyAlignment="1">
      <alignment horizontal="right"/>
    </xf>
    <xf numFmtId="17" fontId="21" fillId="0" borderId="0" xfId="0" applyNumberFormat="1" applyFont="1"/>
    <xf numFmtId="0" fontId="21" fillId="0" borderId="0" xfId="0" applyNumberFormat="1" applyFont="1"/>
    <xf numFmtId="17" fontId="21" fillId="0" borderId="0" xfId="0" quotePrefix="1" applyNumberFormat="1" applyFont="1"/>
    <xf numFmtId="17" fontId="21" fillId="0" borderId="0" xfId="0" applyNumberFormat="1" applyFont="1" applyAlignment="1">
      <alignment horizontal="left"/>
    </xf>
    <xf numFmtId="17" fontId="24" fillId="0" borderId="0" xfId="0" applyNumberFormat="1" applyFont="1"/>
    <xf numFmtId="0" fontId="21" fillId="0" borderId="0" xfId="0" applyNumberFormat="1" applyFont="1" applyAlignment="1">
      <alignment horizontal="right"/>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3"/>
  <sheetViews>
    <sheetView topLeftCell="H1" zoomScale="85" zoomScaleNormal="85" workbookViewId="0">
      <selection activeCell="W7" sqref="W7"/>
    </sheetView>
  </sheetViews>
  <sheetFormatPr baseColWidth="10" defaultColWidth="11.42578125" defaultRowHeight="12" x14ac:dyDescent="0.2"/>
  <cols>
    <col min="1" max="1" width="19.7109375" style="1" customWidth="1"/>
    <col min="2" max="2" width="13.5703125" style="1" customWidth="1"/>
    <col min="3" max="6" width="11.42578125" style="1"/>
    <col min="7" max="7" width="41.85546875" style="2" bestFit="1" customWidth="1"/>
    <col min="8" max="8" width="12.140625" style="2" bestFit="1" customWidth="1"/>
    <col min="9" max="9" width="24.140625" style="2" bestFit="1" customWidth="1"/>
    <col min="10" max="10" width="23.5703125" style="2" bestFit="1" customWidth="1"/>
    <col min="11" max="11" width="13.42578125" style="2" bestFit="1" customWidth="1"/>
    <col min="12" max="12" width="21" style="2" bestFit="1" customWidth="1"/>
    <col min="13" max="13" width="22" style="2" bestFit="1" customWidth="1"/>
    <col min="14" max="14" width="28.7109375" style="2" customWidth="1"/>
    <col min="15" max="17" width="11.42578125" style="3"/>
    <col min="18" max="18" width="15.85546875" style="6" customWidth="1"/>
    <col min="19" max="19" width="18.7109375" style="6" customWidth="1"/>
    <col min="20" max="20" width="11.42578125" style="4"/>
    <col min="21" max="21" width="12.85546875" style="4" bestFit="1" customWidth="1"/>
    <col min="22" max="22" width="17" style="4" bestFit="1" customWidth="1"/>
    <col min="23" max="24" width="11.42578125" style="4"/>
    <col min="25" max="16384" width="11.42578125" style="5"/>
  </cols>
  <sheetData>
    <row r="1" spans="1:25" s="16" customFormat="1" x14ac:dyDescent="0.2">
      <c r="A1" s="12" t="s">
        <v>68</v>
      </c>
      <c r="B1" s="12" t="s">
        <v>0</v>
      </c>
      <c r="C1" s="12" t="s">
        <v>1</v>
      </c>
      <c r="D1" s="12" t="s">
        <v>44</v>
      </c>
      <c r="E1" s="12" t="s">
        <v>2</v>
      </c>
      <c r="F1" s="12" t="s">
        <v>224</v>
      </c>
      <c r="G1" s="13" t="s">
        <v>50</v>
      </c>
      <c r="H1" s="13" t="s">
        <v>52</v>
      </c>
      <c r="I1" s="13" t="s">
        <v>51</v>
      </c>
      <c r="J1" s="13" t="s">
        <v>53</v>
      </c>
      <c r="K1" s="13" t="s">
        <v>54</v>
      </c>
      <c r="L1" s="13" t="s">
        <v>55</v>
      </c>
      <c r="M1" s="13" t="s">
        <v>136</v>
      </c>
      <c r="N1" s="13" t="s">
        <v>137</v>
      </c>
      <c r="O1" s="14" t="s">
        <v>32</v>
      </c>
      <c r="P1" s="14" t="s">
        <v>29</v>
      </c>
      <c r="Q1" s="14" t="s">
        <v>30</v>
      </c>
      <c r="R1" s="36" t="s">
        <v>31</v>
      </c>
      <c r="S1" s="36" t="s">
        <v>33</v>
      </c>
      <c r="T1" s="15" t="s">
        <v>35</v>
      </c>
      <c r="U1" s="15" t="s">
        <v>34</v>
      </c>
      <c r="V1" s="15" t="s">
        <v>36</v>
      </c>
      <c r="W1" s="15" t="s">
        <v>46</v>
      </c>
      <c r="X1" s="15" t="s">
        <v>47</v>
      </c>
      <c r="Y1" s="15" t="s">
        <v>256</v>
      </c>
    </row>
    <row r="2" spans="1:25" s="11" customFormat="1" x14ac:dyDescent="0.2">
      <c r="A2" s="7" t="s">
        <v>19</v>
      </c>
      <c r="B2" s="7">
        <v>2014</v>
      </c>
      <c r="C2" s="7" t="s">
        <v>20</v>
      </c>
      <c r="D2" s="7"/>
      <c r="E2" s="7"/>
      <c r="F2" s="7"/>
      <c r="G2" s="8" t="s">
        <v>143</v>
      </c>
      <c r="H2" s="8"/>
      <c r="I2" s="8" t="s">
        <v>60</v>
      </c>
      <c r="J2" s="8"/>
      <c r="K2" s="8"/>
      <c r="L2" s="8"/>
      <c r="M2" s="8" t="s">
        <v>143</v>
      </c>
      <c r="N2" s="8" t="s">
        <v>131</v>
      </c>
      <c r="O2" s="9">
        <v>1</v>
      </c>
      <c r="P2" s="9"/>
      <c r="Q2" s="9"/>
      <c r="R2" s="37"/>
      <c r="S2" s="37"/>
      <c r="T2" s="10"/>
      <c r="U2" s="10"/>
      <c r="V2" s="10"/>
      <c r="W2" s="10" t="s">
        <v>151</v>
      </c>
      <c r="X2" s="10" t="s">
        <v>21</v>
      </c>
      <c r="Y2" s="11" t="s">
        <v>266</v>
      </c>
    </row>
    <row r="3" spans="1:25" x14ac:dyDescent="0.2">
      <c r="A3" s="1" t="s">
        <v>10</v>
      </c>
      <c r="B3" s="1">
        <v>2015</v>
      </c>
      <c r="C3" s="1" t="s">
        <v>11</v>
      </c>
      <c r="G3" s="2" t="s">
        <v>143</v>
      </c>
      <c r="I3" s="2" t="s">
        <v>61</v>
      </c>
      <c r="M3" s="8" t="s">
        <v>143</v>
      </c>
      <c r="N3" s="2" t="s">
        <v>133</v>
      </c>
      <c r="O3" s="3">
        <v>4</v>
      </c>
      <c r="W3" s="4" t="s">
        <v>150</v>
      </c>
      <c r="X3" s="4" t="s">
        <v>12</v>
      </c>
      <c r="Y3" s="5" t="s">
        <v>265</v>
      </c>
    </row>
    <row r="4" spans="1:25" x14ac:dyDescent="0.2">
      <c r="A4" s="1" t="s">
        <v>22</v>
      </c>
      <c r="B4" s="1">
        <v>2015</v>
      </c>
      <c r="C4" s="1" t="s">
        <v>23</v>
      </c>
      <c r="G4" s="2" t="s">
        <v>134</v>
      </c>
      <c r="I4" s="2" t="s">
        <v>59</v>
      </c>
      <c r="M4" s="2" t="s">
        <v>134</v>
      </c>
      <c r="N4" s="2" t="s">
        <v>132</v>
      </c>
      <c r="O4" s="3">
        <v>4</v>
      </c>
      <c r="W4" s="4" t="s">
        <v>150</v>
      </c>
      <c r="X4" s="4" t="s">
        <v>12</v>
      </c>
      <c r="Y4" s="5" t="s">
        <v>265</v>
      </c>
    </row>
    <row r="5" spans="1:25" x14ac:dyDescent="0.2">
      <c r="A5" s="1" t="s">
        <v>6</v>
      </c>
      <c r="B5" s="1">
        <v>2016</v>
      </c>
      <c r="C5" s="1" t="s">
        <v>7</v>
      </c>
      <c r="G5" s="2" t="s">
        <v>134</v>
      </c>
      <c r="I5" s="2" t="s">
        <v>62</v>
      </c>
      <c r="M5" s="2" t="s">
        <v>134</v>
      </c>
      <c r="N5" s="2" t="s">
        <v>132</v>
      </c>
      <c r="O5" s="3">
        <v>6</v>
      </c>
      <c r="W5" s="4" t="s">
        <v>149</v>
      </c>
      <c r="X5" s="4" t="s">
        <v>246</v>
      </c>
      <c r="Y5" s="5" t="s">
        <v>264</v>
      </c>
    </row>
    <row r="6" spans="1:25" x14ac:dyDescent="0.2">
      <c r="A6" s="1" t="s">
        <v>22</v>
      </c>
      <c r="B6" s="1">
        <v>2016</v>
      </c>
      <c r="C6" s="1" t="s">
        <v>24</v>
      </c>
      <c r="G6" s="2" t="s">
        <v>77</v>
      </c>
      <c r="I6" s="2" t="s">
        <v>59</v>
      </c>
      <c r="M6" s="2" t="s">
        <v>77</v>
      </c>
      <c r="N6" s="2" t="s">
        <v>132</v>
      </c>
      <c r="O6" s="3">
        <v>8</v>
      </c>
      <c r="W6" s="4" t="s">
        <v>148</v>
      </c>
      <c r="X6" s="4" t="s">
        <v>25</v>
      </c>
      <c r="Y6" s="5" t="s">
        <v>263</v>
      </c>
    </row>
    <row r="7" spans="1:25" x14ac:dyDescent="0.2">
      <c r="A7" s="1" t="s">
        <v>26</v>
      </c>
      <c r="B7" s="1">
        <v>2017</v>
      </c>
      <c r="C7" s="1" t="s">
        <v>27</v>
      </c>
      <c r="M7" s="8"/>
      <c r="N7" s="2" t="s">
        <v>133</v>
      </c>
      <c r="O7" s="3">
        <v>11</v>
      </c>
      <c r="W7" s="4" t="s">
        <v>147</v>
      </c>
      <c r="X7" s="4" t="s">
        <v>28</v>
      </c>
      <c r="Y7" s="5" t="s">
        <v>262</v>
      </c>
    </row>
    <row r="8" spans="1:25" x14ac:dyDescent="0.2">
      <c r="A8" s="1" t="s">
        <v>43</v>
      </c>
      <c r="B8" s="1">
        <v>2017</v>
      </c>
      <c r="C8" s="1" t="s">
        <v>8</v>
      </c>
      <c r="D8" s="1" t="s">
        <v>45</v>
      </c>
      <c r="E8" s="1" t="s">
        <v>48</v>
      </c>
      <c r="F8" s="1">
        <v>28466664</v>
      </c>
      <c r="G8" s="2" t="s">
        <v>134</v>
      </c>
      <c r="I8" s="2" t="s">
        <v>62</v>
      </c>
      <c r="M8" s="2" t="s">
        <v>134</v>
      </c>
      <c r="N8" s="8" t="s">
        <v>132</v>
      </c>
      <c r="O8" s="3">
        <v>13</v>
      </c>
      <c r="P8" s="38">
        <v>43160</v>
      </c>
      <c r="Q8" s="3" t="s">
        <v>42</v>
      </c>
      <c r="R8" s="6" t="s">
        <v>40</v>
      </c>
      <c r="S8" s="6" t="s">
        <v>41</v>
      </c>
      <c r="T8" s="4" t="s">
        <v>37</v>
      </c>
      <c r="U8" s="4" t="s">
        <v>38</v>
      </c>
      <c r="V8" s="4" t="s">
        <v>39</v>
      </c>
      <c r="W8" s="4" t="s">
        <v>49</v>
      </c>
      <c r="X8" s="4" t="s">
        <v>9</v>
      </c>
      <c r="Y8" s="5" t="s">
        <v>261</v>
      </c>
    </row>
    <row r="9" spans="1:25" x14ac:dyDescent="0.2">
      <c r="A9" s="1" t="s">
        <v>64</v>
      </c>
      <c r="B9" s="1">
        <v>2017</v>
      </c>
      <c r="C9" s="1" t="s">
        <v>65</v>
      </c>
      <c r="D9" s="1" t="s">
        <v>66</v>
      </c>
      <c r="E9" s="1" t="s">
        <v>67</v>
      </c>
      <c r="F9" s="1">
        <v>2767074</v>
      </c>
      <c r="G9" s="2" t="s">
        <v>77</v>
      </c>
      <c r="H9" s="2" t="s">
        <v>58</v>
      </c>
      <c r="I9" s="2" t="s">
        <v>69</v>
      </c>
      <c r="M9" s="2" t="s">
        <v>77</v>
      </c>
      <c r="O9" s="3">
        <v>13</v>
      </c>
      <c r="P9" s="38">
        <v>43160</v>
      </c>
      <c r="Q9" s="3" t="s">
        <v>42</v>
      </c>
      <c r="R9" s="6" t="s">
        <v>56</v>
      </c>
      <c r="S9" s="6" t="s">
        <v>57</v>
      </c>
      <c r="W9" s="4" t="s">
        <v>49</v>
      </c>
      <c r="X9" s="4" t="s">
        <v>9</v>
      </c>
      <c r="Y9" s="5" t="s">
        <v>261</v>
      </c>
    </row>
    <row r="10" spans="1:25" x14ac:dyDescent="0.2">
      <c r="A10" s="1" t="s">
        <v>13</v>
      </c>
      <c r="B10" s="1">
        <v>2019</v>
      </c>
      <c r="C10" s="1" t="s">
        <v>14</v>
      </c>
      <c r="D10" s="1" t="s">
        <v>253</v>
      </c>
      <c r="E10" s="1" t="s">
        <v>254</v>
      </c>
      <c r="F10" s="1">
        <v>30977029</v>
      </c>
      <c r="G10" s="2" t="s">
        <v>143</v>
      </c>
      <c r="I10" s="2" t="s">
        <v>59</v>
      </c>
      <c r="M10" s="8" t="s">
        <v>143</v>
      </c>
      <c r="N10" s="2" t="s">
        <v>132</v>
      </c>
      <c r="O10" s="3">
        <v>19</v>
      </c>
      <c r="P10" s="32">
        <v>43800</v>
      </c>
      <c r="Q10" s="6" t="s">
        <v>158</v>
      </c>
      <c r="R10" s="6" t="s">
        <v>159</v>
      </c>
      <c r="W10" s="4" t="s">
        <v>146</v>
      </c>
      <c r="X10" s="4" t="s">
        <v>15</v>
      </c>
      <c r="Y10" s="5" t="s">
        <v>259</v>
      </c>
    </row>
    <row r="11" spans="1:25" x14ac:dyDescent="0.2">
      <c r="A11" s="1" t="s">
        <v>16</v>
      </c>
      <c r="B11" s="1">
        <v>2019</v>
      </c>
      <c r="C11" s="1" t="s">
        <v>17</v>
      </c>
      <c r="D11" s="1" t="s">
        <v>251</v>
      </c>
      <c r="E11" s="1" t="s">
        <v>252</v>
      </c>
      <c r="F11" s="1">
        <v>31302690</v>
      </c>
      <c r="G11" s="2" t="s">
        <v>77</v>
      </c>
      <c r="I11" s="2" t="s">
        <v>59</v>
      </c>
      <c r="M11" s="2" t="s">
        <v>77</v>
      </c>
      <c r="N11" s="2" t="s">
        <v>132</v>
      </c>
      <c r="O11" s="3">
        <v>20</v>
      </c>
      <c r="P11" s="38">
        <v>43891</v>
      </c>
      <c r="Q11" s="6" t="s">
        <v>157</v>
      </c>
      <c r="R11" s="6" t="s">
        <v>155</v>
      </c>
      <c r="S11" s="6" t="s">
        <v>156</v>
      </c>
      <c r="W11" s="4" t="s">
        <v>145</v>
      </c>
      <c r="X11" s="4" t="s">
        <v>18</v>
      </c>
      <c r="Y11" s="5" t="s">
        <v>260</v>
      </c>
    </row>
    <row r="12" spans="1:25" x14ac:dyDescent="0.2">
      <c r="A12" s="1" t="s">
        <v>3</v>
      </c>
      <c r="B12" s="1">
        <v>2020</v>
      </c>
      <c r="C12" s="1" t="s">
        <v>4</v>
      </c>
      <c r="D12" s="1" t="s">
        <v>249</v>
      </c>
      <c r="E12" s="1" t="s">
        <v>250</v>
      </c>
      <c r="F12" s="1">
        <v>32647192</v>
      </c>
      <c r="G12" s="2" t="s">
        <v>77</v>
      </c>
      <c r="I12" s="2" t="s">
        <v>63</v>
      </c>
      <c r="L12" s="2" t="s">
        <v>5</v>
      </c>
      <c r="M12" s="8" t="s">
        <v>77</v>
      </c>
      <c r="N12" s="2" t="s">
        <v>131</v>
      </c>
      <c r="O12" s="3">
        <v>25</v>
      </c>
      <c r="P12" s="32">
        <v>44317</v>
      </c>
      <c r="Q12" s="6" t="s">
        <v>154</v>
      </c>
      <c r="R12" s="6" t="s">
        <v>152</v>
      </c>
      <c r="S12" s="6" t="s">
        <v>153</v>
      </c>
      <c r="W12" s="4" t="s">
        <v>144</v>
      </c>
      <c r="X12" s="4" t="s">
        <v>245</v>
      </c>
      <c r="Y12" s="5" t="s">
        <v>255</v>
      </c>
    </row>
    <row r="13" spans="1:25" x14ac:dyDescent="0.2">
      <c r="A13" s="1" t="s">
        <v>178</v>
      </c>
      <c r="B13" s="1">
        <v>2020</v>
      </c>
      <c r="C13" s="1" t="s">
        <v>179</v>
      </c>
      <c r="D13" s="1" t="s">
        <v>180</v>
      </c>
      <c r="E13" s="1" t="s">
        <v>181</v>
      </c>
      <c r="F13" s="1">
        <v>33071139</v>
      </c>
      <c r="G13" s="2" t="s">
        <v>77</v>
      </c>
      <c r="I13" s="2" t="s">
        <v>138</v>
      </c>
      <c r="M13" s="2" t="s">
        <v>77</v>
      </c>
      <c r="N13" s="2" t="s">
        <v>131</v>
      </c>
      <c r="O13" s="3">
        <v>25</v>
      </c>
      <c r="P13" s="32">
        <v>44317</v>
      </c>
      <c r="R13" s="6" t="s">
        <v>176</v>
      </c>
      <c r="S13" s="6" t="s">
        <v>177</v>
      </c>
      <c r="W13" s="4" t="s">
        <v>144</v>
      </c>
      <c r="X13" s="4" t="s">
        <v>245</v>
      </c>
      <c r="Y13" s="5" t="s">
        <v>255</v>
      </c>
    </row>
    <row r="14" spans="1:25" x14ac:dyDescent="0.2">
      <c r="A14" s="1" t="s">
        <v>182</v>
      </c>
      <c r="B14" s="1">
        <v>2020</v>
      </c>
      <c r="C14" s="1" t="s">
        <v>183</v>
      </c>
      <c r="D14" s="1" t="s">
        <v>184</v>
      </c>
      <c r="E14" s="1" t="s">
        <v>185</v>
      </c>
      <c r="F14" s="1">
        <v>32931791</v>
      </c>
      <c r="G14" s="2" t="s">
        <v>77</v>
      </c>
      <c r="H14" s="2" t="s">
        <v>58</v>
      </c>
      <c r="I14" s="2" t="s">
        <v>62</v>
      </c>
      <c r="M14" s="2" t="s">
        <v>77</v>
      </c>
      <c r="N14" s="2" t="s">
        <v>132</v>
      </c>
      <c r="O14" s="3">
        <v>25</v>
      </c>
      <c r="P14" s="32">
        <v>44317</v>
      </c>
      <c r="R14" s="6" t="s">
        <v>186</v>
      </c>
      <c r="S14" s="6" t="s">
        <v>187</v>
      </c>
      <c r="W14" s="4" t="s">
        <v>144</v>
      </c>
      <c r="X14" s="4" t="s">
        <v>245</v>
      </c>
      <c r="Y14" s="5" t="s">
        <v>255</v>
      </c>
    </row>
    <row r="15" spans="1:25" x14ac:dyDescent="0.2">
      <c r="A15" s="1" t="s">
        <v>188</v>
      </c>
      <c r="B15" s="1">
        <v>2020</v>
      </c>
      <c r="C15" s="1" t="s">
        <v>191</v>
      </c>
      <c r="D15" s="1" t="s">
        <v>194</v>
      </c>
      <c r="E15" s="1" t="s">
        <v>197</v>
      </c>
      <c r="F15" s="1">
        <v>32554140</v>
      </c>
      <c r="G15" s="2" t="s">
        <v>77</v>
      </c>
      <c r="H15" s="2" t="s">
        <v>58</v>
      </c>
      <c r="I15" s="2" t="s">
        <v>59</v>
      </c>
      <c r="M15" s="2" t="s">
        <v>77</v>
      </c>
      <c r="N15" s="2" t="s">
        <v>132</v>
      </c>
      <c r="O15" s="3">
        <v>24</v>
      </c>
      <c r="P15" s="32">
        <v>44317</v>
      </c>
      <c r="R15" s="6" t="s">
        <v>200</v>
      </c>
      <c r="S15" s="6" t="s">
        <v>201</v>
      </c>
      <c r="W15" s="4" t="s">
        <v>242</v>
      </c>
      <c r="X15" s="4" t="s">
        <v>243</v>
      </c>
      <c r="Y15" s="5" t="s">
        <v>257</v>
      </c>
    </row>
    <row r="16" spans="1:25" x14ac:dyDescent="0.2">
      <c r="A16" s="1" t="s">
        <v>189</v>
      </c>
      <c r="B16" s="1">
        <v>2020</v>
      </c>
      <c r="C16" s="1" t="s">
        <v>192</v>
      </c>
      <c r="D16" s="1" t="s">
        <v>195</v>
      </c>
      <c r="E16" s="1" t="s">
        <v>198</v>
      </c>
      <c r="F16" s="1">
        <v>32514068</v>
      </c>
      <c r="G16" s="2" t="s">
        <v>77</v>
      </c>
      <c r="H16" s="2" t="s">
        <v>58</v>
      </c>
      <c r="M16" s="2" t="s">
        <v>77</v>
      </c>
      <c r="N16" s="2" t="s">
        <v>132</v>
      </c>
      <c r="O16" s="3">
        <v>24</v>
      </c>
      <c r="P16" s="32">
        <v>44317</v>
      </c>
      <c r="R16" s="6" t="s">
        <v>204</v>
      </c>
      <c r="S16" s="6" t="s">
        <v>205</v>
      </c>
      <c r="W16" s="4" t="s">
        <v>242</v>
      </c>
      <c r="X16" s="4" t="s">
        <v>243</v>
      </c>
      <c r="Y16" s="5" t="s">
        <v>257</v>
      </c>
    </row>
    <row r="17" spans="1:25" x14ac:dyDescent="0.2">
      <c r="A17" s="1" t="s">
        <v>190</v>
      </c>
      <c r="B17" s="1">
        <v>2019</v>
      </c>
      <c r="C17" s="1" t="s">
        <v>193</v>
      </c>
      <c r="D17" s="1" t="s">
        <v>196</v>
      </c>
      <c r="E17" s="1" t="s">
        <v>199</v>
      </c>
      <c r="F17" s="1">
        <v>31735675</v>
      </c>
      <c r="G17" s="2" t="s">
        <v>143</v>
      </c>
      <c r="I17" s="2" t="s">
        <v>138</v>
      </c>
      <c r="J17" s="2" t="s">
        <v>100</v>
      </c>
      <c r="M17" s="2" t="s">
        <v>143</v>
      </c>
      <c r="N17" s="2" t="s">
        <v>131</v>
      </c>
      <c r="O17" s="3">
        <v>24</v>
      </c>
      <c r="P17" s="32">
        <v>44317</v>
      </c>
      <c r="R17" s="6" t="s">
        <v>202</v>
      </c>
      <c r="S17" s="6" t="s">
        <v>203</v>
      </c>
      <c r="W17" s="4" t="s">
        <v>242</v>
      </c>
      <c r="X17" s="4" t="s">
        <v>243</v>
      </c>
      <c r="Y17" s="5" t="s">
        <v>257</v>
      </c>
    </row>
    <row r="18" spans="1:25" x14ac:dyDescent="0.2">
      <c r="A18" s="1" t="s">
        <v>227</v>
      </c>
      <c r="B18" s="1">
        <v>2020</v>
      </c>
      <c r="C18" s="1" t="s">
        <v>228</v>
      </c>
      <c r="D18" s="1" t="s">
        <v>229</v>
      </c>
      <c r="E18" s="1" t="s">
        <v>230</v>
      </c>
      <c r="F18" s="1">
        <v>32218170</v>
      </c>
      <c r="G18" s="2" t="s">
        <v>77</v>
      </c>
      <c r="H18" s="2" t="s">
        <v>58</v>
      </c>
      <c r="I18" s="8" t="s">
        <v>60</v>
      </c>
      <c r="J18" s="2" t="s">
        <v>103</v>
      </c>
      <c r="M18" s="2" t="s">
        <v>77</v>
      </c>
      <c r="N18" s="2" t="s">
        <v>131</v>
      </c>
      <c r="O18" s="3">
        <v>23</v>
      </c>
      <c r="P18" s="38">
        <v>44166</v>
      </c>
      <c r="R18" s="6" t="s">
        <v>206</v>
      </c>
      <c r="S18" s="6" t="s">
        <v>207</v>
      </c>
      <c r="W18" s="4" t="s">
        <v>241</v>
      </c>
      <c r="X18" s="4" t="s">
        <v>244</v>
      </c>
      <c r="Y18" s="5" t="s">
        <v>258</v>
      </c>
    </row>
    <row r="19" spans="1:25" x14ac:dyDescent="0.2">
      <c r="A19" s="1" t="s">
        <v>231</v>
      </c>
      <c r="B19" s="1">
        <v>2020</v>
      </c>
      <c r="C19" s="1" t="s">
        <v>232</v>
      </c>
      <c r="D19" s="1" t="s">
        <v>233</v>
      </c>
      <c r="E19" s="1" t="s">
        <v>234</v>
      </c>
      <c r="F19" s="1">
        <v>32205214</v>
      </c>
      <c r="G19" s="2" t="s">
        <v>77</v>
      </c>
      <c r="H19" s="2" t="s">
        <v>58</v>
      </c>
      <c r="I19" s="2" t="s">
        <v>138</v>
      </c>
      <c r="J19" s="2" t="s">
        <v>99</v>
      </c>
      <c r="M19" s="2" t="s">
        <v>77</v>
      </c>
      <c r="N19" s="2" t="s">
        <v>131</v>
      </c>
      <c r="O19" s="3">
        <v>23</v>
      </c>
      <c r="P19" s="38">
        <v>44166</v>
      </c>
      <c r="R19" s="6" t="s">
        <v>208</v>
      </c>
      <c r="S19" s="6" t="s">
        <v>209</v>
      </c>
      <c r="W19" s="4" t="s">
        <v>241</v>
      </c>
      <c r="X19" s="4" t="s">
        <v>244</v>
      </c>
      <c r="Y19" s="5" t="s">
        <v>258</v>
      </c>
    </row>
    <row r="20" spans="1:25" x14ac:dyDescent="0.2">
      <c r="A20" s="1" t="s">
        <v>222</v>
      </c>
      <c r="B20" s="1">
        <v>2020</v>
      </c>
      <c r="C20" s="1" t="s">
        <v>223</v>
      </c>
      <c r="D20" s="1" t="s">
        <v>225</v>
      </c>
      <c r="E20" s="1" t="s">
        <v>226</v>
      </c>
      <c r="F20" s="1">
        <v>32408065</v>
      </c>
      <c r="I20" s="2" t="s">
        <v>62</v>
      </c>
      <c r="N20" s="2" t="s">
        <v>132</v>
      </c>
      <c r="O20" s="3">
        <v>23</v>
      </c>
      <c r="P20" s="38">
        <v>44166</v>
      </c>
      <c r="R20" s="6" t="s">
        <v>210</v>
      </c>
      <c r="S20" s="6" t="s">
        <v>211</v>
      </c>
      <c r="W20" s="4" t="s">
        <v>241</v>
      </c>
      <c r="X20" s="4" t="s">
        <v>244</v>
      </c>
      <c r="Y20" s="5" t="s">
        <v>258</v>
      </c>
    </row>
    <row r="21" spans="1:25" x14ac:dyDescent="0.2">
      <c r="A21" s="1" t="s">
        <v>219</v>
      </c>
      <c r="B21" s="1">
        <v>2020</v>
      </c>
      <c r="C21" s="1" t="s">
        <v>220</v>
      </c>
      <c r="D21" s="1" t="s">
        <v>184</v>
      </c>
      <c r="E21" s="1" t="s">
        <v>221</v>
      </c>
      <c r="F21" s="1">
        <v>32278161</v>
      </c>
      <c r="I21" s="2" t="s">
        <v>59</v>
      </c>
      <c r="N21" s="2" t="s">
        <v>132</v>
      </c>
      <c r="O21" s="3">
        <v>23</v>
      </c>
      <c r="P21" s="38">
        <v>44166</v>
      </c>
      <c r="R21" s="6" t="s">
        <v>212</v>
      </c>
      <c r="S21" s="6" t="s">
        <v>213</v>
      </c>
      <c r="W21" s="4" t="s">
        <v>241</v>
      </c>
      <c r="X21" s="4" t="s">
        <v>244</v>
      </c>
      <c r="Y21" s="5" t="s">
        <v>258</v>
      </c>
    </row>
    <row r="22" spans="1:25" x14ac:dyDescent="0.2">
      <c r="A22" s="1" t="s">
        <v>235</v>
      </c>
      <c r="B22" s="1">
        <v>2020</v>
      </c>
      <c r="C22" s="1" t="s">
        <v>236</v>
      </c>
      <c r="D22" s="1" t="s">
        <v>194</v>
      </c>
      <c r="E22" s="1" t="s">
        <v>237</v>
      </c>
      <c r="F22" s="1">
        <v>32276731</v>
      </c>
      <c r="I22" s="2" t="s">
        <v>59</v>
      </c>
      <c r="N22" s="2" t="s">
        <v>132</v>
      </c>
      <c r="O22" s="3">
        <v>23</v>
      </c>
      <c r="P22" s="38">
        <v>44166</v>
      </c>
      <c r="R22" s="6" t="s">
        <v>214</v>
      </c>
      <c r="S22" s="6" t="s">
        <v>215</v>
      </c>
      <c r="W22" s="4" t="s">
        <v>241</v>
      </c>
      <c r="X22" s="4" t="s">
        <v>244</v>
      </c>
      <c r="Y22" s="5" t="s">
        <v>258</v>
      </c>
    </row>
    <row r="23" spans="1:25" x14ac:dyDescent="0.2">
      <c r="A23" s="1" t="s">
        <v>238</v>
      </c>
      <c r="B23" s="1">
        <v>2020</v>
      </c>
      <c r="C23" s="1" t="s">
        <v>239</v>
      </c>
      <c r="D23" s="1" t="s">
        <v>195</v>
      </c>
      <c r="E23" s="1" t="s">
        <v>240</v>
      </c>
      <c r="F23" s="1">
        <v>31949179</v>
      </c>
      <c r="I23" s="2" t="s">
        <v>216</v>
      </c>
      <c r="N23" s="2" t="s">
        <v>133</v>
      </c>
      <c r="O23" s="3">
        <v>23</v>
      </c>
      <c r="P23" s="38">
        <v>44166</v>
      </c>
      <c r="R23" s="6" t="s">
        <v>217</v>
      </c>
      <c r="S23" s="6" t="s">
        <v>218</v>
      </c>
      <c r="W23" s="4" t="s">
        <v>241</v>
      </c>
      <c r="X23" s="4" t="s">
        <v>244</v>
      </c>
      <c r="Y23" s="5" t="s">
        <v>258</v>
      </c>
    </row>
  </sheetData>
  <autoFilter ref="A1:X12">
    <sortState ref="A2:X12">
      <sortCondition ref="O1:O12"/>
    </sortState>
  </autoFilter>
  <sortState ref="A2:W12">
    <sortCondition ref="A1"/>
  </sortState>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Categories!$B$2:$B$15</xm:f>
          </x14:formula1>
          <xm:sqref>H2:H1048576</xm:sqref>
        </x14:dataValidation>
        <x14:dataValidation type="list" allowBlank="1" showInputMessage="1" showErrorMessage="1">
          <x14:formula1>
            <xm:f>Categories!$D$2:$D$15</xm:f>
          </x14:formula1>
          <xm:sqref>J2:J1048576</xm:sqref>
        </x14:dataValidation>
        <x14:dataValidation type="list" allowBlank="1" showInputMessage="1" showErrorMessage="1">
          <x14:formula1>
            <xm:f>Categories!$G$2:$G$5</xm:f>
          </x14:formula1>
          <xm:sqref>M2:M1048576</xm:sqref>
        </x14:dataValidation>
        <x14:dataValidation type="list" allowBlank="1" showInputMessage="1" showErrorMessage="1">
          <x14:formula1>
            <xm:f>Categories!$H$2:$H$5</xm:f>
          </x14:formula1>
          <xm:sqref>N2:N1048576</xm:sqref>
        </x14:dataValidation>
        <x14:dataValidation type="list" allowBlank="1" showInputMessage="1" showErrorMessage="1">
          <x14:formula1>
            <xm:f>Categories!$E$2:$E$5</xm:f>
          </x14:formula1>
          <xm:sqref>K2:K1048576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zoomScaleNormal="100" workbookViewId="0">
      <selection activeCell="F24" sqref="F24"/>
    </sheetView>
  </sheetViews>
  <sheetFormatPr baseColWidth="10" defaultColWidth="22" defaultRowHeight="11.25" x14ac:dyDescent="0.2"/>
  <cols>
    <col min="1" max="1" width="13" style="40" bestFit="1" customWidth="1"/>
    <col min="2" max="2" width="18.28515625" style="40" customWidth="1"/>
    <col min="3" max="3" width="11.7109375" style="47" bestFit="1" customWidth="1"/>
    <col min="4" max="4" width="13.5703125" style="43" bestFit="1" customWidth="1"/>
    <col min="5" max="5" width="12.85546875" style="43" bestFit="1" customWidth="1"/>
    <col min="6" max="6" width="15.28515625" style="39" bestFit="1" customWidth="1"/>
    <col min="7" max="7" width="16.28515625" style="39" bestFit="1" customWidth="1"/>
    <col min="8" max="8" width="14.7109375" style="39" bestFit="1" customWidth="1"/>
    <col min="9" max="9" width="15.42578125" style="39" bestFit="1" customWidth="1"/>
    <col min="10" max="16384" width="22" style="39"/>
  </cols>
  <sheetData>
    <row r="1" spans="1:9" x14ac:dyDescent="0.2">
      <c r="A1" s="33" t="s">
        <v>160</v>
      </c>
      <c r="B1" s="33" t="s">
        <v>168</v>
      </c>
      <c r="C1" s="35" t="s">
        <v>164</v>
      </c>
      <c r="D1" s="34" t="s">
        <v>161</v>
      </c>
      <c r="E1" s="34" t="s">
        <v>162</v>
      </c>
      <c r="F1" s="26" t="s">
        <v>172</v>
      </c>
      <c r="G1" s="26" t="s">
        <v>163</v>
      </c>
      <c r="H1" s="26" t="s">
        <v>165</v>
      </c>
      <c r="I1" s="26" t="s">
        <v>166</v>
      </c>
    </row>
    <row r="2" spans="1:9" x14ac:dyDescent="0.2">
      <c r="A2" s="40" t="s">
        <v>175</v>
      </c>
      <c r="B2" s="39" t="s">
        <v>170</v>
      </c>
      <c r="C2" s="41">
        <v>44197</v>
      </c>
      <c r="D2" s="42">
        <v>40179</v>
      </c>
      <c r="E2" s="42">
        <v>43831</v>
      </c>
      <c r="F2" s="39" t="s">
        <v>167</v>
      </c>
      <c r="G2" s="39" t="s">
        <v>167</v>
      </c>
      <c r="H2" s="39">
        <v>20</v>
      </c>
      <c r="I2" s="39">
        <v>0</v>
      </c>
    </row>
    <row r="3" spans="1:9" x14ac:dyDescent="0.2">
      <c r="A3" s="40" t="s">
        <v>174</v>
      </c>
      <c r="B3" s="40" t="s">
        <v>169</v>
      </c>
      <c r="C3" s="41">
        <v>44013</v>
      </c>
      <c r="D3" s="43" t="s">
        <v>167</v>
      </c>
      <c r="E3" s="43" t="s">
        <v>167</v>
      </c>
      <c r="F3" s="43">
        <v>1</v>
      </c>
      <c r="G3" s="43">
        <v>1</v>
      </c>
      <c r="H3" s="39">
        <v>1</v>
      </c>
      <c r="I3" s="39">
        <v>0</v>
      </c>
    </row>
    <row r="4" spans="1:9" x14ac:dyDescent="0.2">
      <c r="A4" s="40" t="s">
        <v>173</v>
      </c>
      <c r="B4" s="40" t="s">
        <v>171</v>
      </c>
      <c r="C4" s="41">
        <v>43405</v>
      </c>
      <c r="D4" s="43" t="s">
        <v>167</v>
      </c>
      <c r="E4" s="43" t="s">
        <v>167</v>
      </c>
      <c r="F4" s="39" t="s">
        <v>167</v>
      </c>
      <c r="G4" s="39" t="s">
        <v>167</v>
      </c>
      <c r="H4" s="39">
        <v>2</v>
      </c>
      <c r="I4" s="39">
        <v>0</v>
      </c>
    </row>
    <row r="5" spans="1:9" x14ac:dyDescent="0.2">
      <c r="A5" s="40">
        <v>26</v>
      </c>
      <c r="C5" s="41">
        <v>44440</v>
      </c>
      <c r="D5" s="41">
        <v>44119</v>
      </c>
      <c r="E5" s="42">
        <v>44228</v>
      </c>
      <c r="F5" s="39">
        <v>122</v>
      </c>
      <c r="G5" s="39">
        <v>6</v>
      </c>
      <c r="H5" s="39">
        <v>4</v>
      </c>
      <c r="I5" s="39">
        <v>0</v>
      </c>
    </row>
    <row r="6" spans="1:9" x14ac:dyDescent="0.2">
      <c r="A6" s="40">
        <v>25</v>
      </c>
      <c r="C6" s="41">
        <v>44317</v>
      </c>
      <c r="D6" s="42">
        <v>44013</v>
      </c>
      <c r="E6" s="42">
        <v>44105</v>
      </c>
      <c r="F6" s="39">
        <v>108</v>
      </c>
      <c r="G6" s="39">
        <v>8</v>
      </c>
      <c r="H6" s="39">
        <v>3</v>
      </c>
      <c r="I6" s="39">
        <v>0</v>
      </c>
    </row>
    <row r="7" spans="1:9" x14ac:dyDescent="0.2">
      <c r="A7" s="40">
        <v>24</v>
      </c>
      <c r="C7" s="41">
        <v>44256</v>
      </c>
      <c r="D7" s="42">
        <v>43952</v>
      </c>
      <c r="E7" s="42">
        <v>44013</v>
      </c>
      <c r="F7" s="39">
        <v>65</v>
      </c>
      <c r="G7" s="39">
        <v>7</v>
      </c>
      <c r="H7" s="39">
        <v>3</v>
      </c>
      <c r="I7" s="39">
        <v>0</v>
      </c>
    </row>
    <row r="8" spans="1:9" x14ac:dyDescent="0.2">
      <c r="A8" s="40">
        <v>23</v>
      </c>
      <c r="C8" s="41">
        <v>44166</v>
      </c>
      <c r="D8" s="42">
        <v>43831</v>
      </c>
      <c r="E8" s="42">
        <v>43922</v>
      </c>
      <c r="F8" s="39">
        <v>91</v>
      </c>
      <c r="G8" s="39">
        <v>12</v>
      </c>
      <c r="H8" s="39">
        <v>6</v>
      </c>
      <c r="I8" s="39">
        <v>0</v>
      </c>
    </row>
    <row r="9" spans="1:9" x14ac:dyDescent="0.2">
      <c r="A9" s="40">
        <v>22</v>
      </c>
      <c r="C9" s="41">
        <v>44075</v>
      </c>
      <c r="D9" s="42">
        <v>43739</v>
      </c>
      <c r="E9" s="42">
        <v>43831</v>
      </c>
      <c r="F9" s="39">
        <v>71</v>
      </c>
      <c r="G9" s="39">
        <v>10</v>
      </c>
      <c r="H9" s="39">
        <v>5</v>
      </c>
      <c r="I9" s="39">
        <v>0</v>
      </c>
    </row>
    <row r="10" spans="1:9" x14ac:dyDescent="0.2">
      <c r="A10" s="40">
        <v>21</v>
      </c>
      <c r="C10" s="41">
        <v>43983</v>
      </c>
      <c r="D10" s="42">
        <v>43678</v>
      </c>
      <c r="E10" s="42">
        <v>43739</v>
      </c>
      <c r="F10" s="39">
        <v>84</v>
      </c>
      <c r="G10" s="39">
        <v>8</v>
      </c>
      <c r="H10" s="39">
        <v>3</v>
      </c>
      <c r="I10" s="39">
        <v>0</v>
      </c>
    </row>
    <row r="11" spans="1:9" x14ac:dyDescent="0.2">
      <c r="A11" s="40">
        <v>20</v>
      </c>
      <c r="C11" s="41">
        <v>43891</v>
      </c>
      <c r="D11" s="42">
        <v>43556</v>
      </c>
      <c r="E11" s="42">
        <v>43678</v>
      </c>
      <c r="F11" s="39">
        <v>103</v>
      </c>
      <c r="G11" s="39">
        <v>9</v>
      </c>
      <c r="H11" s="39">
        <v>6</v>
      </c>
      <c r="I11" s="39">
        <v>0</v>
      </c>
    </row>
    <row r="12" spans="1:9" x14ac:dyDescent="0.2">
      <c r="A12" s="40">
        <v>19</v>
      </c>
      <c r="C12" s="41">
        <v>43800</v>
      </c>
      <c r="D12" s="44">
        <v>43497</v>
      </c>
      <c r="E12" s="44">
        <v>43556</v>
      </c>
      <c r="F12" s="39">
        <v>112</v>
      </c>
      <c r="G12" s="39">
        <v>9</v>
      </c>
      <c r="H12" s="39">
        <v>4</v>
      </c>
      <c r="I12" s="39">
        <v>5</v>
      </c>
    </row>
    <row r="13" spans="1:9" x14ac:dyDescent="0.2">
      <c r="A13" s="40">
        <v>18</v>
      </c>
      <c r="B13" s="45"/>
      <c r="C13" s="41">
        <v>43709</v>
      </c>
      <c r="D13" s="42">
        <v>43405</v>
      </c>
      <c r="E13" s="42">
        <v>43497</v>
      </c>
      <c r="F13" s="39">
        <v>83</v>
      </c>
      <c r="G13" s="39">
        <v>9</v>
      </c>
      <c r="H13" s="39">
        <v>5</v>
      </c>
      <c r="I13" s="39">
        <v>0</v>
      </c>
    </row>
    <row r="14" spans="1:9" x14ac:dyDescent="0.2">
      <c r="A14" s="40">
        <v>17</v>
      </c>
      <c r="C14" s="41">
        <v>43617</v>
      </c>
      <c r="D14" s="46">
        <v>43405</v>
      </c>
      <c r="E14" s="42">
        <v>43405</v>
      </c>
      <c r="F14" s="39">
        <v>120</v>
      </c>
      <c r="G14" s="39">
        <v>14</v>
      </c>
      <c r="H14" s="39">
        <v>5</v>
      </c>
      <c r="I14" s="39">
        <v>0</v>
      </c>
    </row>
    <row r="15" spans="1:9" x14ac:dyDescent="0.2">
      <c r="A15" s="40">
        <v>16</v>
      </c>
      <c r="C15" s="41">
        <v>43556</v>
      </c>
      <c r="D15" s="42">
        <v>43191</v>
      </c>
      <c r="E15" s="42">
        <v>43313</v>
      </c>
      <c r="F15" s="39">
        <v>57</v>
      </c>
      <c r="G15" s="39">
        <v>8</v>
      </c>
      <c r="H15" s="39">
        <v>3</v>
      </c>
      <c r="I15" s="39">
        <v>0</v>
      </c>
    </row>
    <row r="16" spans="1:9" x14ac:dyDescent="0.2">
      <c r="A16" s="40">
        <v>15</v>
      </c>
      <c r="C16" s="41">
        <v>43344</v>
      </c>
      <c r="D16" s="42">
        <v>43101</v>
      </c>
      <c r="E16" s="42">
        <v>43191</v>
      </c>
      <c r="F16" s="39">
        <v>83</v>
      </c>
      <c r="G16" s="39">
        <v>7</v>
      </c>
      <c r="H16" s="39">
        <v>4</v>
      </c>
      <c r="I16" s="39">
        <v>0</v>
      </c>
    </row>
    <row r="17" spans="1:9" x14ac:dyDescent="0.2">
      <c r="A17" s="40">
        <v>14</v>
      </c>
      <c r="C17" s="41">
        <v>43252</v>
      </c>
      <c r="D17" s="42">
        <v>43040</v>
      </c>
      <c r="E17" s="42">
        <v>43101</v>
      </c>
      <c r="F17" s="39">
        <v>65</v>
      </c>
      <c r="G17" s="39">
        <v>8</v>
      </c>
      <c r="H17" s="39">
        <v>3</v>
      </c>
      <c r="I17" s="39">
        <v>0</v>
      </c>
    </row>
    <row r="18" spans="1:9" x14ac:dyDescent="0.2">
      <c r="A18" s="40">
        <v>13</v>
      </c>
      <c r="C18" s="41">
        <v>43160</v>
      </c>
      <c r="D18" s="42">
        <v>42917</v>
      </c>
      <c r="E18" s="42">
        <v>43040</v>
      </c>
      <c r="F18" s="39">
        <v>95</v>
      </c>
      <c r="G18" s="39">
        <v>1</v>
      </c>
      <c r="H18" s="39">
        <v>4</v>
      </c>
      <c r="I18" s="39">
        <v>0</v>
      </c>
    </row>
    <row r="19" spans="1:9" x14ac:dyDescent="0.2">
      <c r="A19" s="40">
        <v>12</v>
      </c>
      <c r="C19" s="41">
        <v>43070</v>
      </c>
      <c r="D19" s="42">
        <v>42856</v>
      </c>
      <c r="E19" s="42">
        <v>42917</v>
      </c>
      <c r="F19" s="39">
        <v>62</v>
      </c>
      <c r="G19" s="39">
        <v>7</v>
      </c>
      <c r="H19" s="39">
        <v>4</v>
      </c>
      <c r="I19" s="39">
        <v>0</v>
      </c>
    </row>
    <row r="20" spans="1:9" x14ac:dyDescent="0.2">
      <c r="A20" s="40">
        <v>11</v>
      </c>
      <c r="C20" s="41">
        <v>42979</v>
      </c>
      <c r="D20" s="42">
        <v>42736</v>
      </c>
      <c r="E20" s="42">
        <v>42856</v>
      </c>
      <c r="F20" s="39">
        <v>106</v>
      </c>
      <c r="G20" s="39">
        <v>12</v>
      </c>
      <c r="H20" s="39">
        <v>6</v>
      </c>
      <c r="I20" s="39">
        <v>0</v>
      </c>
    </row>
    <row r="21" spans="1:9" x14ac:dyDescent="0.2">
      <c r="A21" s="40">
        <v>10</v>
      </c>
      <c r="C21" s="41">
        <v>42887</v>
      </c>
      <c r="D21" s="42">
        <v>42644</v>
      </c>
      <c r="E21" s="42">
        <v>42736</v>
      </c>
      <c r="F21" s="39">
        <v>83</v>
      </c>
      <c r="G21" s="39">
        <v>15</v>
      </c>
      <c r="H21" s="39">
        <v>6</v>
      </c>
      <c r="I21" s="39">
        <v>0</v>
      </c>
    </row>
    <row r="22" spans="1:9" x14ac:dyDescent="0.2">
      <c r="A22" s="40">
        <v>9</v>
      </c>
      <c r="C22" s="41">
        <v>42795</v>
      </c>
      <c r="D22" s="42">
        <v>42583</v>
      </c>
      <c r="E22" s="42">
        <v>42644</v>
      </c>
      <c r="F22" s="39">
        <v>79</v>
      </c>
      <c r="G22" s="39">
        <v>8</v>
      </c>
      <c r="H22" s="39">
        <v>4</v>
      </c>
      <c r="I22" s="39">
        <v>0</v>
      </c>
    </row>
    <row r="23" spans="1:9" x14ac:dyDescent="0.2">
      <c r="A23" s="40">
        <v>8</v>
      </c>
      <c r="C23" s="41">
        <v>42705</v>
      </c>
      <c r="D23" s="42">
        <v>42461</v>
      </c>
      <c r="E23" s="42">
        <v>42583</v>
      </c>
      <c r="F23" s="39">
        <v>129</v>
      </c>
      <c r="G23" s="39">
        <v>9</v>
      </c>
      <c r="H23" s="39">
        <v>4</v>
      </c>
      <c r="I23" s="39">
        <v>0</v>
      </c>
    </row>
    <row r="24" spans="1:9" x14ac:dyDescent="0.2">
      <c r="A24" s="40">
        <v>7</v>
      </c>
      <c r="C24" s="41">
        <v>42614</v>
      </c>
      <c r="D24" s="42">
        <v>42401</v>
      </c>
      <c r="E24" s="42">
        <v>42461</v>
      </c>
      <c r="F24" s="39">
        <v>100</v>
      </c>
      <c r="G24" s="39">
        <v>11</v>
      </c>
      <c r="H24" s="39">
        <v>4</v>
      </c>
      <c r="I24" s="39">
        <v>1</v>
      </c>
    </row>
    <row r="25" spans="1:9" x14ac:dyDescent="0.2">
      <c r="A25" s="40">
        <v>6</v>
      </c>
      <c r="C25" s="41">
        <v>42522</v>
      </c>
      <c r="D25" s="42">
        <v>42309</v>
      </c>
      <c r="E25" s="42">
        <v>42370</v>
      </c>
      <c r="F25" s="39">
        <v>129</v>
      </c>
      <c r="G25" s="39">
        <v>11</v>
      </c>
      <c r="H25" s="39">
        <v>6</v>
      </c>
      <c r="I25" s="39">
        <v>1</v>
      </c>
    </row>
    <row r="26" spans="1:9" x14ac:dyDescent="0.2">
      <c r="A26" s="40">
        <v>5</v>
      </c>
      <c r="C26" s="41">
        <v>42430</v>
      </c>
      <c r="D26" s="42">
        <v>42186</v>
      </c>
      <c r="E26" s="42">
        <v>42278</v>
      </c>
      <c r="F26" s="39">
        <v>89</v>
      </c>
      <c r="G26" s="39">
        <v>14</v>
      </c>
      <c r="H26" s="39">
        <v>4</v>
      </c>
      <c r="I26" s="39">
        <v>0</v>
      </c>
    </row>
    <row r="27" spans="1:9" x14ac:dyDescent="0.2">
      <c r="A27" s="40">
        <v>4</v>
      </c>
      <c r="B27" s="45"/>
      <c r="C27" s="41">
        <v>42339</v>
      </c>
      <c r="D27" s="42">
        <v>42125</v>
      </c>
      <c r="E27" s="42">
        <v>42186</v>
      </c>
      <c r="F27" s="39">
        <v>94</v>
      </c>
      <c r="G27" s="39">
        <v>12</v>
      </c>
      <c r="H27" s="39">
        <v>4</v>
      </c>
      <c r="I27" s="39">
        <v>0</v>
      </c>
    </row>
    <row r="28" spans="1:9" x14ac:dyDescent="0.2">
      <c r="A28" s="40">
        <v>3</v>
      </c>
      <c r="C28" s="41">
        <v>42248</v>
      </c>
      <c r="D28" s="42">
        <v>42036</v>
      </c>
      <c r="E28" s="42">
        <v>42095</v>
      </c>
      <c r="F28" s="39">
        <v>109</v>
      </c>
      <c r="G28" s="39">
        <v>14</v>
      </c>
      <c r="H28" s="39">
        <v>9</v>
      </c>
      <c r="I28" s="39">
        <v>0</v>
      </c>
    </row>
    <row r="29" spans="1:9" x14ac:dyDescent="0.2">
      <c r="A29" s="40">
        <v>2</v>
      </c>
      <c r="C29" s="41">
        <v>42156</v>
      </c>
      <c r="D29" s="42">
        <v>41944</v>
      </c>
      <c r="E29" s="42">
        <v>42005</v>
      </c>
      <c r="F29" s="39">
        <v>113</v>
      </c>
      <c r="G29" s="39">
        <v>8</v>
      </c>
      <c r="H29" s="39">
        <v>5</v>
      </c>
      <c r="I29" s="39">
        <v>0</v>
      </c>
    </row>
    <row r="30" spans="1:9" x14ac:dyDescent="0.2">
      <c r="A30" s="40">
        <v>1</v>
      </c>
      <c r="C30" s="41">
        <v>42064</v>
      </c>
      <c r="D30" s="42">
        <v>41852</v>
      </c>
      <c r="E30" s="42">
        <v>41913</v>
      </c>
      <c r="F30" s="39">
        <v>91</v>
      </c>
      <c r="G30" s="39">
        <v>18</v>
      </c>
      <c r="H30" s="39">
        <v>7</v>
      </c>
      <c r="I30" s="39">
        <v>0</v>
      </c>
    </row>
  </sheetData>
  <autoFilter ref="A1:I1">
    <sortState ref="A2:I29">
      <sortCondition descending="1" ref="A1"/>
    </sortState>
  </autoFilter>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tabSelected="1" workbookViewId="0">
      <selection activeCell="D16" sqref="D16"/>
    </sheetView>
  </sheetViews>
  <sheetFormatPr baseColWidth="10" defaultColWidth="35.28515625" defaultRowHeight="12.75" x14ac:dyDescent="0.2"/>
  <cols>
    <col min="1" max="1" width="38.28515625" style="17" customWidth="1"/>
    <col min="2" max="2" width="18.7109375" style="17" bestFit="1" customWidth="1"/>
    <col min="3" max="3" width="24.28515625" style="17" bestFit="1" customWidth="1"/>
    <col min="4" max="4" width="22.5703125" style="17" bestFit="1" customWidth="1"/>
    <col min="5" max="5" width="14.140625" style="17" customWidth="1"/>
    <col min="6" max="6" width="34.5703125" style="30" bestFit="1" customWidth="1"/>
    <col min="7" max="7" width="38.5703125" style="17" customWidth="1"/>
    <col min="8" max="16384" width="35.28515625" style="17"/>
  </cols>
  <sheetData>
    <row r="1" spans="1:8" s="27" customFormat="1" x14ac:dyDescent="0.2">
      <c r="A1" s="26" t="s">
        <v>70</v>
      </c>
      <c r="B1" s="26" t="s">
        <v>71</v>
      </c>
      <c r="C1" s="26" t="s">
        <v>72</v>
      </c>
      <c r="D1" s="26" t="s">
        <v>248</v>
      </c>
      <c r="E1" s="26" t="s">
        <v>73</v>
      </c>
      <c r="F1" s="28" t="s">
        <v>247</v>
      </c>
      <c r="G1" s="26" t="s">
        <v>129</v>
      </c>
      <c r="H1" s="26" t="s">
        <v>130</v>
      </c>
    </row>
    <row r="2" spans="1:8" s="25" customFormat="1" x14ac:dyDescent="0.2">
      <c r="A2" s="24" t="str">
        <f>""</f>
        <v/>
      </c>
      <c r="B2" s="24" t="str">
        <f>""</f>
        <v/>
      </c>
      <c r="C2" s="24" t="str">
        <f>""</f>
        <v/>
      </c>
      <c r="D2" s="24" t="str">
        <f>""</f>
        <v/>
      </c>
      <c r="E2" s="24" t="str">
        <f>""</f>
        <v/>
      </c>
      <c r="F2" s="31" t="str">
        <f>""</f>
        <v/>
      </c>
      <c r="G2" s="24" t="str">
        <f>""</f>
        <v/>
      </c>
      <c r="H2" s="24" t="str">
        <f>""</f>
        <v/>
      </c>
    </row>
    <row r="3" spans="1:8" ht="14.25" customHeight="1" x14ac:dyDescent="0.2">
      <c r="A3" s="18" t="s">
        <v>74</v>
      </c>
      <c r="B3" s="18" t="s">
        <v>79</v>
      </c>
      <c r="C3" s="18" t="s">
        <v>59</v>
      </c>
      <c r="D3" s="18" t="s">
        <v>92</v>
      </c>
      <c r="E3" s="18" t="s">
        <v>104</v>
      </c>
      <c r="F3" s="29" t="s">
        <v>107</v>
      </c>
      <c r="G3" s="18" t="s">
        <v>77</v>
      </c>
      <c r="H3" s="20" t="s">
        <v>132</v>
      </c>
    </row>
    <row r="4" spans="1:8" ht="11.25" customHeight="1" x14ac:dyDescent="0.2">
      <c r="A4" s="18" t="s">
        <v>75</v>
      </c>
      <c r="B4" s="18" t="s">
        <v>89</v>
      </c>
      <c r="C4" s="19" t="s">
        <v>140</v>
      </c>
      <c r="D4" s="18" t="s">
        <v>96</v>
      </c>
      <c r="E4" s="18" t="s">
        <v>105</v>
      </c>
      <c r="F4" s="29" t="s">
        <v>108</v>
      </c>
      <c r="G4" s="18" t="s">
        <v>143</v>
      </c>
      <c r="H4" s="20" t="s">
        <v>131</v>
      </c>
    </row>
    <row r="5" spans="1:8" x14ac:dyDescent="0.2">
      <c r="A5" s="18" t="s">
        <v>76</v>
      </c>
      <c r="B5" s="18" t="s">
        <v>82</v>
      </c>
      <c r="C5" s="18" t="s">
        <v>139</v>
      </c>
      <c r="D5" s="18" t="s">
        <v>93</v>
      </c>
      <c r="E5" s="18" t="s">
        <v>106</v>
      </c>
      <c r="F5" s="29" t="s">
        <v>109</v>
      </c>
      <c r="G5" s="18" t="s">
        <v>134</v>
      </c>
      <c r="H5" s="20" t="s">
        <v>133</v>
      </c>
    </row>
    <row r="6" spans="1:8" x14ac:dyDescent="0.2">
      <c r="A6" s="18" t="s">
        <v>77</v>
      </c>
      <c r="B6" s="18" t="s">
        <v>83</v>
      </c>
      <c r="C6" s="19" t="s">
        <v>142</v>
      </c>
      <c r="D6" s="18" t="s">
        <v>91</v>
      </c>
      <c r="E6" s="21"/>
      <c r="F6" s="29" t="s">
        <v>110</v>
      </c>
      <c r="G6" s="18"/>
      <c r="H6" s="20"/>
    </row>
    <row r="7" spans="1:8" ht="22.5" x14ac:dyDescent="0.2">
      <c r="A7" s="18" t="s">
        <v>78</v>
      </c>
      <c r="B7" s="18" t="s">
        <v>85</v>
      </c>
      <c r="C7" s="19" t="s">
        <v>141</v>
      </c>
      <c r="D7" s="18" t="s">
        <v>94</v>
      </c>
      <c r="E7" s="21"/>
      <c r="F7" s="29" t="s">
        <v>111</v>
      </c>
      <c r="G7" s="22"/>
      <c r="H7" s="22"/>
    </row>
    <row r="8" spans="1:8" x14ac:dyDescent="0.2">
      <c r="A8" s="18" t="s">
        <v>135</v>
      </c>
      <c r="B8" s="18" t="s">
        <v>80</v>
      </c>
      <c r="C8" s="18" t="s">
        <v>138</v>
      </c>
      <c r="D8" s="18" t="s">
        <v>95</v>
      </c>
      <c r="E8" s="21"/>
      <c r="F8" s="29" t="s">
        <v>112</v>
      </c>
      <c r="G8" s="22"/>
      <c r="H8" s="22"/>
    </row>
    <row r="9" spans="1:8" x14ac:dyDescent="0.2">
      <c r="A9" s="18"/>
      <c r="B9" s="18" t="s">
        <v>84</v>
      </c>
      <c r="C9" s="18" t="s">
        <v>60</v>
      </c>
      <c r="D9" s="19" t="s">
        <v>101</v>
      </c>
      <c r="E9" s="21"/>
      <c r="F9" s="29" t="s">
        <v>113</v>
      </c>
      <c r="G9" s="22"/>
      <c r="H9" s="22"/>
    </row>
    <row r="10" spans="1:8" x14ac:dyDescent="0.2">
      <c r="A10" s="18"/>
      <c r="B10" s="18" t="s">
        <v>58</v>
      </c>
      <c r="C10" s="19"/>
      <c r="D10" s="19" t="s">
        <v>102</v>
      </c>
      <c r="E10" s="21"/>
      <c r="F10" s="29" t="s">
        <v>114</v>
      </c>
      <c r="G10" s="22"/>
      <c r="H10" s="22"/>
    </row>
    <row r="11" spans="1:8" x14ac:dyDescent="0.2">
      <c r="A11" s="22"/>
      <c r="B11" s="18" t="s">
        <v>86</v>
      </c>
      <c r="C11" s="19"/>
      <c r="D11" s="19" t="s">
        <v>99</v>
      </c>
      <c r="E11" s="21"/>
      <c r="F11" s="29" t="s">
        <v>115</v>
      </c>
      <c r="G11" s="22"/>
      <c r="H11" s="22"/>
    </row>
    <row r="12" spans="1:8" ht="22.5" x14ac:dyDescent="0.2">
      <c r="A12" s="21"/>
      <c r="B12" s="18" t="s">
        <v>87</v>
      </c>
      <c r="C12" s="19"/>
      <c r="D12" s="19" t="s">
        <v>97</v>
      </c>
      <c r="E12" s="21"/>
      <c r="F12" s="29" t="s">
        <v>116</v>
      </c>
      <c r="G12" s="22"/>
      <c r="H12" s="22"/>
    </row>
    <row r="13" spans="1:8" x14ac:dyDescent="0.2">
      <c r="A13" s="21"/>
      <c r="B13" s="18" t="s">
        <v>88</v>
      </c>
      <c r="C13" s="23"/>
      <c r="D13" s="19" t="s">
        <v>98</v>
      </c>
      <c r="E13" s="21"/>
      <c r="F13" s="29" t="s">
        <v>117</v>
      </c>
      <c r="G13" s="22"/>
      <c r="H13" s="22"/>
    </row>
    <row r="14" spans="1:8" x14ac:dyDescent="0.2">
      <c r="A14" s="21"/>
      <c r="B14" s="18" t="s">
        <v>81</v>
      </c>
      <c r="C14" s="21"/>
      <c r="D14" s="19" t="s">
        <v>103</v>
      </c>
      <c r="E14" s="21"/>
      <c r="F14" s="29" t="s">
        <v>118</v>
      </c>
      <c r="G14" s="22"/>
      <c r="H14" s="22"/>
    </row>
    <row r="15" spans="1:8" x14ac:dyDescent="0.2">
      <c r="A15" s="21"/>
      <c r="B15" s="18" t="s">
        <v>90</v>
      </c>
      <c r="C15" s="21"/>
      <c r="D15" s="19" t="s">
        <v>100</v>
      </c>
      <c r="E15" s="21"/>
      <c r="F15" s="29" t="s">
        <v>119</v>
      </c>
      <c r="G15" s="22"/>
      <c r="H15" s="22"/>
    </row>
    <row r="16" spans="1:8" x14ac:dyDescent="0.2">
      <c r="A16" s="21"/>
      <c r="B16" s="21"/>
      <c r="C16" s="21"/>
      <c r="D16" s="19"/>
      <c r="E16" s="21"/>
      <c r="F16" s="29" t="s">
        <v>120</v>
      </c>
      <c r="G16" s="22"/>
      <c r="H16" s="22"/>
    </row>
    <row r="17" spans="1:8" ht="22.5" x14ac:dyDescent="0.2">
      <c r="A17" s="21"/>
      <c r="B17" s="21"/>
      <c r="C17" s="21"/>
      <c r="D17" s="21"/>
      <c r="E17" s="21"/>
      <c r="F17" s="29" t="s">
        <v>121</v>
      </c>
      <c r="G17" s="22"/>
      <c r="H17" s="22"/>
    </row>
    <row r="18" spans="1:8" ht="22.5" x14ac:dyDescent="0.2">
      <c r="A18" s="21"/>
      <c r="B18" s="21"/>
      <c r="C18" s="21"/>
      <c r="D18" s="21"/>
      <c r="E18" s="21"/>
      <c r="F18" s="29" t="s">
        <v>122</v>
      </c>
      <c r="G18" s="22"/>
      <c r="H18" s="22"/>
    </row>
    <row r="19" spans="1:8" x14ac:dyDescent="0.2">
      <c r="A19" s="21"/>
      <c r="B19" s="21"/>
      <c r="C19" s="21"/>
      <c r="D19" s="21"/>
      <c r="E19" s="21"/>
      <c r="F19" s="29" t="s">
        <v>123</v>
      </c>
      <c r="G19" s="22"/>
      <c r="H19" s="22"/>
    </row>
    <row r="20" spans="1:8" x14ac:dyDescent="0.2">
      <c r="A20" s="21"/>
      <c r="B20" s="21"/>
      <c r="C20" s="21"/>
      <c r="D20" s="21"/>
      <c r="E20" s="21"/>
      <c r="F20" s="29" t="s">
        <v>124</v>
      </c>
      <c r="G20" s="22"/>
      <c r="H20" s="22"/>
    </row>
    <row r="21" spans="1:8" x14ac:dyDescent="0.2">
      <c r="A21" s="21"/>
      <c r="B21" s="21"/>
      <c r="C21" s="21"/>
      <c r="D21" s="21"/>
      <c r="E21" s="21"/>
      <c r="F21" s="29" t="s">
        <v>127</v>
      </c>
      <c r="G21" s="22"/>
      <c r="H21" s="22"/>
    </row>
    <row r="22" spans="1:8" x14ac:dyDescent="0.2">
      <c r="A22" s="21"/>
      <c r="B22" s="21"/>
      <c r="C22" s="21"/>
      <c r="D22" s="21"/>
      <c r="E22" s="21"/>
      <c r="F22" s="29" t="s">
        <v>126</v>
      </c>
      <c r="G22" s="22"/>
      <c r="H22" s="22"/>
    </row>
    <row r="23" spans="1:8" x14ac:dyDescent="0.2">
      <c r="A23" s="21"/>
      <c r="B23" s="21"/>
      <c r="C23" s="21"/>
      <c r="D23" s="21"/>
      <c r="E23" s="21"/>
      <c r="F23" s="29" t="s">
        <v>125</v>
      </c>
      <c r="G23" s="22"/>
      <c r="H23" s="22"/>
    </row>
    <row r="24" spans="1:8" x14ac:dyDescent="0.2">
      <c r="A24" s="21"/>
      <c r="B24" s="21"/>
      <c r="C24" s="21"/>
      <c r="D24" s="21"/>
      <c r="E24" s="21"/>
      <c r="F24" s="29" t="s">
        <v>128</v>
      </c>
      <c r="G24" s="22"/>
      <c r="H24" s="22"/>
    </row>
  </sheetData>
  <sortState ref="H2:H24">
    <sortCondition ref="H2:H24"/>
  </sortState>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test_berenis</vt:lpstr>
      <vt:lpstr>ScreeningStats</vt:lpstr>
      <vt:lpstr>Categories</vt:lpstr>
      <vt:lpstr>Categories!OLE_LINK1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Egger Sebastian BAFU</dc:creator>
  <cp:lastModifiedBy>Egger Sebastian BAFU</cp:lastModifiedBy>
  <dcterms:created xsi:type="dcterms:W3CDTF">2021-08-24T18:22:00Z</dcterms:created>
  <dcterms:modified xsi:type="dcterms:W3CDTF">2021-09-13T12:03:17Z</dcterms:modified>
</cp:coreProperties>
</file>